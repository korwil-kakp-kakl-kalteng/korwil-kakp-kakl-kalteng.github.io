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nduan" sheetId="1" state="visible" r:id="rId3"/>
    <sheet name="Bab I - SKP (Rinci)" sheetId="2" state="visible" r:id="rId4"/>
    <sheet name="Bab II - TKK (Rinci)" sheetId="3" state="visible" r:id="rId5"/>
    <sheet name="Bab III - MI (Rinci)" sheetId="4" state="visible" r:id="rId6"/>
    <sheet name="Bab IV - KKS (Rinci)" sheetId="5" state="visible" r:id="rId7"/>
    <sheet name="Bab V - MFK (Rinci)" sheetId="6" state="visible" r:id="rId8"/>
    <sheet name="Bab VI - PM (Rinci)" sheetId="7" state="visible" r:id="rId9"/>
    <sheet name="Bab VII - PPN (Rinci)" sheetId="8" state="visible" r:id="rId10"/>
    <sheet name="Rekap Capaian"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<sst xmlns="http://schemas.openxmlformats.org/spreadsheetml/2006/main" count="1268" uniqueCount="878">
  <si>
    <t xml:space="preserve">INSTRUMEN SELF-ASSESSMENT AKREDITASI</t>
  </si>
  <si>
    <t xml:space="preserve">LABORATORIUM KESEHATAN MASYARAKAT (LABKESMAS)</t>
  </si>
  <si>
    <t xml:space="preserve">Disusun untuk Koordinator Wilayah Kalimantan Tengah — Komite Akreditasi Kesehatan Lanjutan (KAKL)</t>
  </si>
  <si>
    <t xml:space="preserve">A. DASAR HUKUM</t>
  </si>
  <si>
    <t xml:space="preserve">•  Peraturan Menteri Kesehatan Nomor 34 Tahun 2022 tentang Akreditasi Puskesmas, Klinik, Laboratorium Kesehatan, Unit Transfusi Darah, Tempat Praktik Mandiri Dokter, dan Tempat Praktik Mandiri Dokter Gigi.</t>
  </si>
  <si>
    <t xml:space="preserve">•  Standar Akreditasi Laboratorium Kesehatan (rujukan KMK terkait — sesuai template resmi yang diberikan Bapak Hary Satrisno).</t>
  </si>
  <si>
    <t xml:space="preserve">B. SUMBER KONTEN</t>
  </si>
  <si>
    <t xml:space="preserve">Seluruh Standar, Elemen Penilaian, metode telusur, dan bukti pada workbook ini diambil langsung dari template resmi Self Assessment Laboratorium Kesehatan yang diberikan Bapak Hary Satrisno — bukan rekonstruksi dari pencarian web.</t>
  </si>
  <si>
    <t xml:space="preserve">C. STRUKTUR BAB (7 Bab)</t>
  </si>
  <si>
    <t xml:space="preserve">•  Bab I. Sasaran Keselamatan Pasien (SKP)</t>
  </si>
  <si>
    <t xml:space="preserve">•  Bab II. Tata Kelola Kepemimpinan (TKK)</t>
  </si>
  <si>
    <t xml:space="preserve">•  Bab III. Manajemen Informasi (MI)</t>
  </si>
  <si>
    <t xml:space="preserve">•  Bab IV. Kualifikasi dan Kompetensi Staf (KKS)</t>
  </si>
  <si>
    <t xml:space="preserve">•  Bab V. Manajemen Fasilitas dan Keselamatan (MFK)</t>
  </si>
  <si>
    <t xml:space="preserve">•  Bab VI. Pengendalian Mutu (PM)</t>
  </si>
  <si>
    <t xml:space="preserve">•  Bab VII. Program Prioritas Nasional (PPN)</t>
  </si>
  <si>
    <t xml:space="preserve">D. SKOR ELEMEN PENILAIAN</t>
  </si>
  <si>
    <t xml:space="preserve">•  10 — Terpenuhi Penuh.</t>
  </si>
  <si>
    <t xml:space="preserve">•  5 — Terpenuhi Sebagian.</t>
  </si>
  <si>
    <t xml:space="preserve">•  0 — Tidak Terpenuhi.</t>
  </si>
  <si>
    <t xml:space="preserve">•  TDD — Tidak Dapat Dinilai (EP tidak relevan dengan jenis/skala layanan laboratorium ini; dikeluarkan dari penyebut capaian).</t>
  </si>
  <si>
    <t xml:space="preserve">E. AMBANG BATAS STATUS AKREDITASI (dari template resmi)</t>
  </si>
  <si>
    <t xml:space="preserve">•  Paripurna — seluruh Bab mendapat nilai minimal 80%.</t>
  </si>
  <si>
    <t xml:space="preserve">•  Utama — 4–6 Bab mendapat nilai minimal 80%, dan Bab SKP mendapat nilai minimal 80%.</t>
  </si>
  <si>
    <t xml:space="preserve">•  Madya — 2–3 Bab mendapat nilai minimal 80%, dan Bab SKP mendapat nilai minimal 80%.</t>
  </si>
  <si>
    <t xml:space="preserve">•  Tidak Terakreditasi — Bab SKP mendapat nilai kurang dari 80%.</t>
  </si>
  <si>
    <t xml:space="preserve">F. CATATAN PENTING</t>
  </si>
  <si>
    <t xml:space="preserve">Sebagian Standar pada Bab II (TKK), V (MFK), dan VI (PM) memiliki sub-kriteria berjenjang (misal Standar TKK 1 memiliki sub-bagian TKK 1.1, TKK 1.1.1). Pada sheet rinci, setiap sub-bagian ditampilkan sebagai baris Standar tersendiri sesuai struktur asli template — label ditampilkan apa adanya dari file sumber tanpa diringkas ulang, untuk menjaga akurasi.</t>
  </si>
  <si>
    <t xml:space="preserve">G. CARA PENGGUNAAN</t>
  </si>
  <si>
    <t xml:space="preserve">1.  Buka sheet 'Bab I - SKP (Rinci)' s.d. 'Bab VII - PPN (Rinci)' sesuai Bab yang akan dinilai.</t>
  </si>
  <si>
    <t xml:space="preserve">2.  Isi kolom Skor Diri (0/5/10/TDD) untuk setiap Elemen Penilaian.</t>
  </si>
  <si>
    <t xml:space="preserve">3.  Isi kolom Catatan/Rencana Tindak Lanjut untuk EP yang belum terpenuhi penuh.</t>
  </si>
  <si>
    <t xml:space="preserve">4.  Ringkasan capaian per Standar dan per Bab terhitung otomatis (EP TDD dikeluarkan dari penyebut).</t>
  </si>
  <si>
    <t xml:space="preserve">Bab I. SASARAN KESELAMATAN PASIEN (SKP) — KONTEN RESMI LENGKAP</t>
  </si>
  <si>
    <t xml:space="preserve">Sumber: Template Self Assessment Laboratorium Kesehatan resmi yang diberikan Bapak Hary Satrisno. Redaksi Elemen Penilaian dan Bukti/Telusur adalah teks ASLI.</t>
  </si>
  <si>
    <t xml:space="preserve">Standar</t>
  </si>
  <si>
    <t xml:space="preserve">No. EP</t>
  </si>
  <si>
    <t xml:space="preserve">Elemen Penilaian</t>
  </si>
  <si>
    <t xml:space="preserve">Skor Diri
(0/5/10/TDD)</t>
  </si>
  <si>
    <t xml:space="preserve">Metode Telusur &amp; Bukti</t>
  </si>
  <si>
    <t xml:space="preserve">Catatan / Rencana Tindak Lanjut</t>
  </si>
  <si>
    <t xml:space="preserve">Standar SKP 1 — Laboratorium Kesehatan mengembangkan dan mengimplementasikan proses untuk meningkatkan ketepatan identifikasi.</t>
  </si>
  <si>
    <t xml:space="preserve">Standar SKP 1</t>
  </si>
  <si>
    <t xml:space="preserve">1)	  Terdapat kebijakan, pedoman dan prosedur yang mengatur identifikasi pasien dengan menggunakan minimal dua dari empat identitas.</t>
  </si>
  <si>
    <t xml:space="preserve">[R] Regulasi:
(Kebijakan/pedoman/prosedur identifikasi pasien)</t>
  </si>
  <si>
    <t xml:space="preserve">2) Terdapat bukti Identifikasi dilakukan mulai dari pendaftaran 	sampai penyerahan hasil.</t>
  </si>
  <si>
    <t xml:space="preserve">[D
O
W] Bukti pelaksanaan identifikasi dari pendaftaran sampai penyerahan hasil
Observasi pelaksanaan identifikasi dari pendaftaran sampai penyerahan hasil
Bagian Administrasi, Koordinator Laboratorium, ATLM/ Pelaksana</t>
  </si>
  <si>
    <t xml:space="preserve">Standar SKP 2 — Laboratorium kesehatan menerapkan proses komunikasi efektif dalam memberikan pelayanan baik secara verbal dan atau komunikasi melalui telepon dalam me</t>
  </si>
  <si>
    <t xml:space="preserve">Standar SKP 2</t>
  </si>
  <si>
    <t xml:space="preserve">1) Terdapat bukti pelaporan dan penyerahan hasil kritis</t>
  </si>
  <si>
    <t xml:space="preserve">[D
W
S] Bukti pelaporan dan penyerahan hasil kritis
Koordinator Labkes, ATLM/Pelaksana
Simulasi pelaporan dan penyerahan hasil kritis</t>
  </si>
  <si>
    <t xml:space="preserve">2) Terdapat bukti evaluasi 	dan  tindak lanjut pelaksanaan
pelaporan hasil kritis</t>
  </si>
  <si>
    <t xml:space="preserve">[D] Bukti evaluasi dan tindak lanjut pelaporan hasil kritis</t>
  </si>
  <si>
    <t xml:space="preserve">Standar SKP 3 — Infeksi yang terjadi sebagai dampak dari pelayanan kesehatan adalah merupakan ancaman keselamatan bagi penerima layanan. Laboratorium kesehatan mengad</t>
  </si>
  <si>
    <t xml:space="preserve">Standar SKP 3</t>
  </si>
  <si>
    <t xml:space="preserve">1)	Terdapat	 kebijakan,	pedoman 	dan prosedur  tentang  kebersihan  tangan.</t>
  </si>
  <si>
    <t xml:space="preserve">[R] Regulasi:
(Kebijakan/pedoman/prosedur/ program kebersihan tangan).</t>
  </si>
  <si>
    <t xml:space="preserve">2)	Terdapat bukti implementasi program kebersihan tangan bagi seluruh petugas.</t>
  </si>
  <si>
    <t xml:space="preserve">[D
 O
S] Bukti implementasi program kebersihan tangan bagi seluruh petugas termasuk hasil pengukuran INM Kepatuhan Kebersihan Tangan.
Bukti kelengkapan fasilitas kebersihan tangan dan penerapan pelaksanaan kebersihan tangan bagi seluruh petugas.
Peragaan Kebersihan Tangan</t>
  </si>
  <si>
    <t xml:space="preserve">RINGKASAN CAPAIAN BAB I</t>
  </si>
  <si>
    <t xml:space="preserve">Jumlah EP</t>
  </si>
  <si>
    <t xml:space="preserve">Total Skor</t>
  </si>
  <si>
    <t xml:space="preserve">Skor Maksimal</t>
  </si>
  <si>
    <t xml:space="preserve">Capaian (%)</t>
  </si>
  <si>
    <t xml:space="preserve">TOTAL BAB I</t>
  </si>
  <si>
    <t xml:space="preserve">Bab II. TATA KELOLA KEPEMIMPINAN (TKK) — KONTEN RESMI LENGKAP</t>
  </si>
  <si>
    <t xml:space="preserve">Standar TKK 1 Penetapan visi dan misi — Pimpinan laboratorium kesehatan menetapkan visi dan misi serta perencanaan kegiatan yang mendukung penyelenggaraan pelayanan laboratorium kesehatan.</t>
  </si>
  <si>
    <t xml:space="preserve">Standar TKK 1 Penetapan visi dan misi</t>
  </si>
  <si>
    <t xml:space="preserve">1) Terdapat bukti penyusunan visi dan misi 	Laboratorium Kesehatan, serta penetapan visi dan misi laboratorium kesehatan</t>
  </si>
  <si>
    <t xml:space="preserve">[D
R] Bukti	pertemuan penyusunan visi dan misi Laboratorium Kesehatan oleh semua petugas Laboratorium Kesehatan (undangan, daftar hadir, notulen, dokumentasi, materi)
Regulasi tentang  penetapan visi dan misi</t>
  </si>
  <si>
    <t xml:space="preserve">2) Terdapat bukti sosialisasi dan pemahaman visi dan misi kepada seluruh petugas laboratorium kesehatan, serta evaluasi visi dan misi laboratorium kesehatan</t>
  </si>
  <si>
    <t xml:space="preserve">[D
W] Bukti sosialisasi  visi dan misi kepada seluruh petugas
 Bukti evaluasi visi dan misi laboratorium kesehatan
 Bukti pemahaman visi dan misi Laboratorium Kesehatan</t>
  </si>
  <si>
    <t xml:space="preserve">Standar TKK 1.1.1 Kualifikasi pimpinan laboratorium kesehatan — Pimpinan 	laboratorium	 kesehatan 	memenuhi 	kualifikasi 	sesuai peraturan perundang-undangan</t>
  </si>
  <si>
    <t xml:space="preserve">Standar TKK 1.1.1 Kualifikasi pimpinan laboratorium kesehatan</t>
  </si>
  <si>
    <t xml:space="preserve">1) Kepala	 laboratorium	 kesehatan memenuhi kualifikasi  sesuai dengan ketentuan  peraturan perundang-undangan</t>
  </si>
  <si>
    <t xml:space="preserve">[R
D] Regulasi tentang Kualifikasi Kepala  Laboratorium	 Kesehatan sesuai  dengan  ketentuan peraturan	 perundang- undangan
Dokumen file kepegawaian kepala laboratorium kesehatan</t>
  </si>
  <si>
    <t xml:space="preserve">2) Kepala laboratorium kesehatan mempunyai uraian tugas sesuai dengan ketentuan peraturan perundang-undangan</t>
  </si>
  <si>
    <t xml:space="preserve">[R
D] Regulasi penetapan Kepala Laboratorium Kesehatan beserta lampiran uraian tugas.
Bukti implementasi tugas Kepala Laboratorium Kesehatan sesuai uraian tugas.</t>
  </si>
  <si>
    <t xml:space="preserve">3) Kepala Laboratorium  Kesehatan  melakukan pelaporan   berkala   kepada
pemilik</t>
  </si>
  <si>
    <t xml:space="preserve">[D] Bukti laporan Kepala Laboratorium Kesehatan kepada pemilik</t>
  </si>
  <si>
    <t xml:space="preserve">Standar TKK 2 Koordinasi dengan pihak terkait atau pemangku kepentingan — Pimpinan laboratorium kesehatan melakukan koordinasi dengan pihak terkait atau pemangku kepentingan untuk menentukan jenis dan lingkup pelayanan labor</t>
  </si>
  <si>
    <t xml:space="preserve">Standar TKK 2 Koordinasi dengan pihak terkait atau pemangku kepentingan</t>
  </si>
  <si>
    <t xml:space="preserve">1) Terdapat bukti koordinasi dengan pihak terkait untuk menentukan jenis pelayanan laboratorium kesehatan yang mencakup angka 1) sampai angka 6) paling singkat 1 (satu) tahun sekali.</t>
  </si>
  <si>
    <t xml:space="preserve">[D] Bukti koordinasi dengan pihak terkait atau pemangku kepentingan untuk menentukan jenis pelayanan laboratorium kesehatan yang meliputi angka 1) sampai angka 6) paling singkat 1 (satu) tahun sekali</t>
  </si>
  <si>
    <t xml:space="preserve">2) Terdapat kebijakan tentang jenis pelayanan laboratorium kesehatan</t>
  </si>
  <si>
    <t xml:space="preserve">[R] Regulasi tentang jenis pelayanan laboratorium kesehatan</t>
  </si>
  <si>
    <t xml:space="preserve">Standar TKK 2.1 Perencanaan ketersediaan sumber daya yang dibutuhkan — Pimpinan laboratorium kesehatan merencanakan dan menjamin ketersediaan sumber daya yang dibutuhkan dengan mengutamakan mutu dan keselamatan</t>
  </si>
  <si>
    <t xml:space="preserve">Standar TKK 2.1 Perencanaan ketersediaan sumber daya yang dibutuhkan</t>
  </si>
  <si>
    <t xml:space="preserve">1) Tersedia data yang digunakan sebagai dasar penyusunan rencana kebutuhan dan pemilihan teknologi tepat guna.</t>
  </si>
  <si>
    <t xml:space="preserve">[D] Data yang digunakan sebagai dasar penyusunan rencana kebutuhan dan pemilihan teknologi tepat guna.</t>
  </si>
  <si>
    <t xml:space="preserve">2) Terdapat	perencanaan	laboratorium	kesehatan	untuk menjamin terlaksananya pelayanan yang mencakup angka 1) sampai angka 5).</t>
  </si>
  <si>
    <t xml:space="preserve">[D
W] Perencanaan laboratorium kesehatan
Kepala Labkes, Kepala Tata Usaha/Kepegawaian Labkes, Penanggung Jawab Unit dan SDM Labkes</t>
  </si>
  <si>
    <t xml:space="preserve">3) Tersedia	sumber	daya	laboratorium	kesehatan	yang mencakup angka 1) sampai angka 5).</t>
  </si>
  <si>
    <t xml:space="preserve">[D] Daftar ketersediaan sumberdaya laboratorium kesehatan mencakup angka 1) sampai angka 5)</t>
  </si>
  <si>
    <t xml:space="preserve">4)	Terdapat	bukti	evaluasi	perencanaan	dan	ketersediaan sumber daya yang dibutuhkan</t>
  </si>
  <si>
    <t xml:space="preserve">[D] Bukti evaluasi perencanaan dan ketersediaan sumberdaya</t>
  </si>
  <si>
    <t xml:space="preserve">Standar TKK 2.2 Perjanjian kerja sama — Pimpinan laboratorium kesehatan menetapkan perjanjian kerja sama</t>
  </si>
  <si>
    <t xml:space="preserve">Standar TKK 2.2 Perjanjian kerja sama</t>
  </si>
  <si>
    <t xml:space="preserve">1) Terdapat perjanjian kerja sama tertulis.</t>
  </si>
  <si>
    <t xml:space="preserve">[D] Bukti perjanjian kerja sama tertulis</t>
  </si>
  <si>
    <t xml:space="preserve">2) Terdapat	 kriteria 	penentuan 	kerja 	sama	 dengan 	pihak ketiga.</t>
  </si>
  <si>
    <t xml:space="preserve">[R
W] Regulasi tentang  kriteria penentuan perjanjian kerja sama dengan pihak ketiga
Pimpinan laboratorium kesehatan</t>
  </si>
  <si>
    <t xml:space="preserve">Standar TKK 2.2.1 Perjanjian kerja sama dengan pihak ketiga — Laboratorium kesehatan menetapkan perjanjian kerja sama dengan pihak ketiga yang telah memiliki izin/lisensi dan terakreditasi</t>
  </si>
  <si>
    <t xml:space="preserve">Standar TKK 2.2.1 Perjanjian kerja sama dengan pihak ketiga</t>
  </si>
  <si>
    <t xml:space="preserve">1) Terdapat salinan perizinan/lisensi pihak ketiga yang bekerja sama sesuai dengan ketentuan peraturan perundang-undangan.</t>
  </si>
  <si>
    <t xml:space="preserve">[D] Salinan perijinan/ lisensi pihak ketiga yang bekerja sama sesuai dengan ketentuan peraturan perundang-undangan</t>
  </si>
  <si>
    <t xml:space="preserve">2) Terdapat salinan sertifikat akreditasi atau sertifikasi pihak ketiga yang bekerja sama oleh lembaga yang diakui pemerintah.</t>
  </si>
  <si>
    <t xml:space="preserve">[D] Salinan sertifikat akreditasi atau sertifikasi pihak ketiga yang bekerja sama oleh lembaga yang diakui pemerintah yang masih berlaku</t>
  </si>
  <si>
    <t xml:space="preserve">Standar TKK 2.2.2 Evaluasi terhadap perjanjian kerja sama — Pimpinan laboratorium kesehatan bertanggung jawab melakukan evaluasi terhadap perjanjian kerja sama.</t>
  </si>
  <si>
    <t xml:space="preserve">Standar TKK 2.2.2 Evaluasi terhadap perjanjian kerja sama</t>
  </si>
  <si>
    <t xml:space="preserve">1)	 Terdapat kebijakan pelaksanaan evaluasi dan tindak lanjut terhadap perjanjian kerja sama.</t>
  </si>
  <si>
    <t xml:space="preserve">[R] Regulasi : kebijakan pelaksanaan evaluasi dan tindak lanjut terhadap perjanjian   kerja sama</t>
  </si>
  <si>
    <t xml:space="preserve">2) Terdapat bukti dokumentasi pelaksanaan evaluasi dan tindak lanjut perjanjian kerja sama.</t>
  </si>
  <si>
    <t xml:space="preserve">[D] Bukti pelaksanaan evaluasi dan tindak lanjut perjanjian kerja sama</t>
  </si>
  <si>
    <t xml:space="preserve">Standar TKK 2.3 Pelayanan Point Of Care Test (POCT) — SDM yang kompeten dan berwenang melaksanakan dan memantau pelayanan Point Of Care Test (POCT).</t>
  </si>
  <si>
    <t xml:space="preserve">Standar TKK 2.3 Pelayanan Point Of Care Test (POCT)</t>
  </si>
  <si>
    <t xml:space="preserve">1) Terdapat SDM yang kompeten dan berwenang, dalam pelaksanaan dan pemantauan POCT.</t>
  </si>
  <si>
    <t xml:space="preserve">[D
W] File kepegawaian berisi pembuktian kompetensi dan kewenangan SDM yang melaksanakan dan memantau POCT ( uraian tugas, sertifikat pelatihan POCT)
Petugas POCT</t>
  </si>
  <si>
    <t xml:space="preserve">2) Terdapat prosedur pelaporan hasil POCT, termasuk hasil kritis</t>
  </si>
  <si>
    <t xml:space="preserve">[R] Regulasi :Prosedur pelaporan hasil POCT, termasuk hasil kritis</t>
  </si>
  <si>
    <t xml:space="preserve">3) Pelaksanaan POCT dipantau dan dievaluasi, serta dilakukan upaya tindak lanjut untuk peningkatan mutu pelayanan.</t>
  </si>
  <si>
    <t xml:space="preserve">[D] Bukti pemantauan, evaluasi dan tindak lanjut pelaksanaan POCT untuk peningkatan mutu pelayanan</t>
  </si>
  <si>
    <t xml:space="preserve">Standar TKK 3.1 Orientasi terhadap kebutuhan pelanggan — Pelayanan laboratorium kesehatan berorientasi terhadap kebutuhan pelanggan</t>
  </si>
  <si>
    <t xml:space="preserve">Standar TKK 3.1 Orientasi terhadap kebutuhan pelanggan</t>
  </si>
  <si>
    <t xml:space="preserve">1) Dilakukan survei kepuasan pelanggan.</t>
  </si>
  <si>
    <t xml:space="preserve">[D] Hasil 	survei kepuasan pelanggan</t>
  </si>
  <si>
    <t xml:space="preserve">2) Dilakukan analisis, evaluasi dan tindak lanjut hasil survei kepuasan pelanggan</t>
  </si>
  <si>
    <t xml:space="preserve">[D] Bukti analisis, evaluasi dan tindak lanjut hasil survei kepuasan pelanggan</t>
  </si>
  <si>
    <t xml:space="preserve">Standar TKK 3.2 Prosedur pelaporan hasil kritis — Terdapat prosedur pelaporan hasil kritis</t>
  </si>
  <si>
    <t xml:space="preserve">Standar TKK 3.2 Prosedur pelaporan hasil kritis</t>
  </si>
  <si>
    <t xml:space="preserve">1)     Terdapat penetapan hasil kritis.</t>
  </si>
  <si>
    <t xml:space="preserve">[R] Regulasi penetapan hasil kritis</t>
  </si>
  <si>
    <t xml:space="preserve">2)     Terdapat prosedur pelaporan hasil kritis.</t>
  </si>
  <si>
    <t xml:space="preserve">[R] Regulasi : Prosedur pelaporan hasil kritis</t>
  </si>
  <si>
    <t xml:space="preserve">Standar TKK 4 Program peningkatan mutu pelayanan laboratorium kesehatan — Pimpinan laboratorium kesehatan menetapkan program peningkatan mutu pelayanan laboratorium kesehatan.</t>
  </si>
  <si>
    <t xml:space="preserve">Standar TKK 4 Program peningkatan mutu pelayanan laboratorium kesehatan</t>
  </si>
  <si>
    <t xml:space="preserve">1) Terdapat program peningkatan mutu</t>
  </si>
  <si>
    <t xml:space="preserve">[R] Regulasi : Program peningkatan mutu</t>
  </si>
  <si>
    <t xml:space="preserve">2) Program peningkatan mutu laboratorium kesehatan mencakup tujuan, target, indikator dan cara pengukuran pencapaian target.</t>
  </si>
  <si>
    <t xml:space="preserve">[R] Regulasi : Program peningkatan mutu labkes mencakup tujuan, target, indikator dan cara pengukuran pencapaian target</t>
  </si>
  <si>
    <t xml:space="preserve">3) Terdapat bukti Analisis, evaluasi dan tindak lanjut pelaksanaan program peningkatan mutu.</t>
  </si>
  <si>
    <t xml:space="preserve">[D
W] Bukti pelaksanaan dan analisis, evaluasi serta tindak lanjut pelaksanaan program peningkatan mutu
Kepala Labkes, PJ  tiap unit  dan Tim Mutu</t>
  </si>
  <si>
    <t xml:space="preserve">Standar TKK 4.1 Pemantauan terhadap pelaksanaan program peningkatan mutu — Penanggung jawab mutu laboratorium kesehatan melakukan pemantauan terhadap pelaksanaan program peningkatan mutu.</t>
  </si>
  <si>
    <t xml:space="preserve">Standar TKK 4.1 Pemantauan terhadap pelaksanaan program peningkatan mutu</t>
  </si>
  <si>
    <t xml:space="preserve">1) Pimpinan laboratorium kesehatan menetapkan tim mutu serta uraian tugas tim mutu.</t>
  </si>
  <si>
    <t xml:space="preserve">[R] Regulasi : SK Penetapan Tim Mutu beserta uraian tugas.</t>
  </si>
  <si>
    <t xml:space="preserve">2) Terdapat penanggung jawab mutu</t>
  </si>
  <si>
    <t xml:space="preserve">[R] Regulasi : SK Penetapan Penanggung Jawab Mutu beserta uraian tugas.</t>
  </si>
  <si>
    <t xml:space="preserve">3) Terdapat bukti pemantauan terhadap pelaksanaan program peningkatan mutu.</t>
  </si>
  <si>
    <t xml:space="preserve">[D] Bukti  pelaksanaan dan pemantauan terhadap pelaksanaan program peningkatan mutu</t>
  </si>
  <si>
    <t xml:space="preserve">4) Terdapat bukti pelaporan pelaksanaan program peningkatan mutu dari ketua tim mutu ke kepala laboratorium kesehatan paling singkat 3 (tiga) bulan sekali.</t>
  </si>
  <si>
    <t xml:space="preserve">[D] Bukti pelaporan pelaksanaan program peningkatan mutu dari Penanggung Jawab   mutu ke kepala 	Laboratorium Kesehatan  paling  singkat  3 (tiga) bulan sekali</t>
  </si>
  <si>
    <t xml:space="preserve">Standar TKK 4.2 Kriteria pemeriksaan laboratorium kesehatan yang bermutu — Pimpinan laboratorium kesehatan menetapkan kriteria pemeriksaan laboratorium kesehatan yang bermutu.</t>
  </si>
  <si>
    <t xml:space="preserve">Standar TKK 4.2 Kriteria pemeriksaan laboratorium kesehatan yang bermutu</t>
  </si>
  <si>
    <t xml:space="preserve">1) Terdapat kebijakan kriteria metode pemeriksaan dan kinerja alat mencakup angka 1) sampai angka 6).</t>
  </si>
  <si>
    <t xml:space="preserve">[R] Regulasi : Kebijakan kriteria metode pemeriksaan dan kinerja alat mencakup angka 1) sampai angka 6).</t>
  </si>
  <si>
    <t xml:space="preserve">2) 	Terdapat bukti evaluasi dan tindak lanjut pemenuhan kriteria pemeriksaan.</t>
  </si>
  <si>
    <t xml:space="preserve">[D] Bukti evaluasi dan tindak lanjut pemenuhan kriteria pemeriksaan.</t>
  </si>
  <si>
    <t xml:space="preserve">Standar TKK 5 Pengumpulan dan analisis data — Laboratorium kesehatan melakukan pengumpulan dan analisis data.</t>
  </si>
  <si>
    <t xml:space="preserve">Standar TKK 5 Pengumpulan dan analisis data</t>
  </si>
  <si>
    <t xml:space="preserve">1). Terdapat bukti pengumpulan, pengolahan dan analisis data</t>
  </si>
  <si>
    <t xml:space="preserve">[D
W] Bukti pengumpulan, pengolahan dan analisis data
Tim Mutu</t>
  </si>
  <si>
    <t xml:space="preserve">2). Terdapat bukti hasil evaluasi dan tindak lanjut terhadap data yang telah dianalisis</t>
  </si>
  <si>
    <t xml:space="preserve">[D
W] Bukti hasil evaluasi dan tindak lanjut terhadap data yang telah dianalisis
Tim Mutu</t>
  </si>
  <si>
    <t xml:space="preserve">Standar TKK 7 Tindakan perbaikan untuk meningkatkan keamanan dan keselamatan — Laboratorium kesehatan melakukan tindakan perbaikan untuk meningkatkan keamanan dan keselamatan</t>
  </si>
  <si>
    <t xml:space="preserve">Standar TKK 7 Tindakan perbaikan untuk meningkatkan keamanan dan keselamatan</t>
  </si>
  <si>
    <t xml:space="preserve">1)	Laboratorium kesehatan  merencanakan upaya perbaikan berdasarkan data monitoring.</t>
  </si>
  <si>
    <t xml:space="preserve">[D] Bukti perencanaan upaya perbaikan berdasarkan data monitoring.</t>
  </si>
  <si>
    <t xml:space="preserve">2)	Terdapat sumber daya yang diperlukan untuk melakukan perbaikan.</t>
  </si>
  <si>
    <t xml:space="preserve">[D] Bukti tersedianya sumber daya yang diperlukan untuk melakukan perbaikan</t>
  </si>
  <si>
    <t xml:space="preserve">3)	Dilakukan evaluasi dan tindak lanjut untuk melihat upaya perbaikan berjalan efektif dan dilakukan.</t>
  </si>
  <si>
    <t xml:space="preserve">[D
W] Bukti evaluasi dan tindak lanjut untuk melihat upaya perbaikan berjalan efektif
Kepala Labkes, Penanggung Jawab Unit dan Tim Mutu</t>
  </si>
  <si>
    <t xml:space="preserve">Standar TKK 8 Manajemen risiko — Laboratorium kesehatan menerapkan manajemen risiko.</t>
  </si>
  <si>
    <t xml:space="preserve">Standar TKK 8 Manajemen risiko</t>
  </si>
  <si>
    <t xml:space="preserve">1).   Terdapat program manajemen risiko yang meliputi angka 1) sampai  angka 6)</t>
  </si>
  <si>
    <t xml:space="preserve">[R] Regulasi : Program manajemen risiko meliputi angka 1) sampai angka 6)</t>
  </si>
  <si>
    <t xml:space="preserve">2).   Program manajemen risiko yang disosialisasikan kepada seluruh petugas</t>
  </si>
  <si>
    <t xml:space="preserve">[D
W] Bukti sosialisasi program manajemen risiko (undangan, daftar hadir, materi, notulen, dokumentasi)
Seluruh SDM Labkes</t>
  </si>
  <si>
    <t xml:space="preserve">3).   Terdapat bukti dilakukan upaya pencegahan terjadinya risiko</t>
  </si>
  <si>
    <t xml:space="preserve">[D
 W] Bukti pelaksanaan upaya pencegahan terjadinya risiko
Penanggung Jawab tiap unit, Tim Mutu dan seluruh SDM Labkes</t>
  </si>
  <si>
    <t xml:space="preserve">4). Terdapat bukti evaluasi dan tindak lanjut pelaksanaan upaya pencegahan risiko.</t>
  </si>
  <si>
    <t xml:space="preserve">[D] Bukti evaluasi  dan tindak lanjut pelaksanaan upaya pencegahan risiko</t>
  </si>
  <si>
    <t xml:space="preserve">Standar TKK 9 Pemantauan dan peningkatan mutu — Pimpinan laboratorium kesehatan melakukan pemantauan dan evaluasi terhadap upaya peningkatan mutu yang telah dilakukan paling sedikit 1 (satu) kali da</t>
  </si>
  <si>
    <t xml:space="preserve">Standar TKK 9 Pemantauan dan peningkatan mutu</t>
  </si>
  <si>
    <t xml:space="preserve">1) Terdapat bukti evaluasi upaya peningkatan mutu yang telah dilakukan mencakup angka 1) sampai angka 5).</t>
  </si>
  <si>
    <t xml:space="preserve">[D] Bukti evaluasi upaya peningkatan mutu yang telah dilakukan mencakup angka 1) sampai angka 5)</t>
  </si>
  <si>
    <t xml:space="preserve">2) Pemantauan dan evaluasi dilakukan paling sedikit 1 (satu) kali dalam 1 (satu) tahun</t>
  </si>
  <si>
    <t xml:space="preserve">[D
 W] Laporan pemantauan dan evaluasi paling sedikit 1 (satu) kali dalam 1 (satu) tahun
Pimpinan Labkes dan Tim Mutu</t>
  </si>
  <si>
    <t xml:space="preserve">3) Terdapat rencana tindak lanjut dan didokumentasikan.</t>
  </si>
  <si>
    <t xml:space="preserve">[D] Bukti rencana tindak lanjut</t>
  </si>
  <si>
    <t xml:space="preserve">Standar TKK 10 Program	 peningkatan	 budaya	 keselamatan 	di   laboratorium kesehatan — Pimpinan menetapkan program peningkatan budaya keselamatan di laboratorium</t>
  </si>
  <si>
    <t xml:space="preserve">Standar TKK 10 Program	 peningkatan	 budaya	 keselamatan 	di   laboratorium kesehatan</t>
  </si>
  <si>
    <t xml:space="preserve">1) Pimpinan laboratorium kesehatan menetapkan program budaya keselamatan yang mencakup angka 1) sampai angka 3) serta mendukung penerapannya secara akuntabel dan transparan.</t>
  </si>
  <si>
    <t xml:space="preserve">[R
D] Program 	budaya keselamatan di laboratorium kesehatan mencakup angka 1) sampai angka 3)
Bukti penerapan budaya keselamatan di laboratorium kesehatan</t>
  </si>
  <si>
    <t xml:space="preserve">2) Terdapat bukti penyampaian informasi dan edukasi budaya keselamatan kepada semua SDM.</t>
  </si>
  <si>
    <t xml:space="preserve">[D
 W] Bukti penyampaian informasi dan edukasi budaya keselamatan kepada semua SDM berupa :
1) Dokumen edukasi budaya keselamatan
2) Informasi/kepustakaan budaya keselamatan
3) Penyediaan sistem pelaporan bila ada insiden terkait budaya keselamatan/perilaku yang tidak diinginkan
Tim Mutu dan SDM Labkes</t>
  </si>
  <si>
    <t xml:space="preserve">3) Terdapat bukti upaya perbaikan perilaku.</t>
  </si>
  <si>
    <t xml:space="preserve">[D
 W] Bukti penilaian kepatuhan terhadap 	penerapan keselamatan pasien ( misal : laporan IKP dan bukti upaya perbaikannya)
Pimpinan labkes dan Tim Mutu</t>
  </si>
  <si>
    <t xml:space="preserve">4) Terdapat identifikasi masalah yang terkait dengan budaya keselamatan dalam organisasi.</t>
  </si>
  <si>
    <t xml:space="preserve">[D
 W] Bukti identifikasi masalah terkait budaya keselamatan dalam organisasi
Pimpinan labkes dan Tim Mutu</t>
  </si>
  <si>
    <t xml:space="preserve">5) Tersedia sumber daya untuk meningkatkan budaya keselamatan dalam laboratorium kesehatan.</t>
  </si>
  <si>
    <t xml:space="preserve">[D
O
W] Daftar sumber daya laboratorium kesehatan yang mendukung budaya keselamatan di Laboratorium Kesehatan
Sistem informasi  di labkes terkait budaya keselamatan, perpustakaan budaya keselamatan, anggaran dan kegiatan terkait lainnya
Pimpinan labkes,Tim Mutu dan SDM labkes</t>
  </si>
  <si>
    <t xml:space="preserve">Standar TKK 10.1 Penetapan, pemantauan, dan perbaikan dalam peningkatan budaya keselamatan — Pimpinan menetapkan, memantau dan melakukan perbaikan dalam peningkatan budaya keselamatan di laboratorium kesehatan. Program peningkatan budaya kesel</t>
  </si>
  <si>
    <t xml:space="preserve">Standar TKK 10.1 Penetapan, pemantauan, dan perbaikan dalam peningkatan budaya keselamatan</t>
  </si>
  <si>
    <t xml:space="preserve">1) Terdapat bukti 	evaluasi 	dalam meningkatkan budaya keselamatan dalam organisasi.</t>
  </si>
  <si>
    <t xml:space="preserve">[D] Bukti evaluasi penerapan  budaya keselamatan dalam organisasi</t>
  </si>
  <si>
    <t xml:space="preserve">2) Terdapat bukti pelaporan insiden keselamatan pasien.</t>
  </si>
  <si>
    <t xml:space="preserve">[D] Bukti 	pelaporan 	insiden keselamatan pasien.</t>
  </si>
  <si>
    <t xml:space="preserve">3) Terdapat bukti evaluasi 	terhadap laporan	 insiden keselamatan pasien.</t>
  </si>
  <si>
    <t xml:space="preserve">[D
 W] Bukti evaluasi terhadap laporan insiden keselamatan pasien
Pimpinan labkes dan Tim Mutu</t>
  </si>
  <si>
    <t xml:space="preserve">4) Terdapat bukti 	tindak lanjut dari laporan insiden keselamatan pasien.</t>
  </si>
  <si>
    <t xml:space="preserve">[D
W] Bukti tindak lanjut dari pelaporan insiden keselamatan pasien
Pimpinan labkes dan Tim Mutu</t>
  </si>
  <si>
    <t xml:space="preserve">5) Terdapat bukti penjaminan kerahasiaan informasi pelapor.</t>
  </si>
  <si>
    <t xml:space="preserve">[R] Regulasi : Kebijakan penjaminan kerahasiaan informasi pelapor</t>
  </si>
  <si>
    <t xml:space="preserve">RINGKASAN CAPAIAN BAB II</t>
  </si>
  <si>
    <t xml:space="preserve">TOTAL BAB II</t>
  </si>
  <si>
    <t xml:space="preserve">Bab III. MANAJEMEN INFORMASI (MI) — KONTEN RESMI LENGKAP</t>
  </si>
  <si>
    <t xml:space="preserve">Standar MI 1 Prosedur pengendalian dokumen — Terdapat prosedur pengendalian dokumen secara konsisten dan seragam</t>
  </si>
  <si>
    <t xml:space="preserve">Standar MI 1 Prosedur pengendalian dokumen</t>
  </si>
  <si>
    <t xml:space="preserve">1) Terdapat prosedur pengendalian dokumen yang mengacu kepada angka 1) sampai angka 7).</t>
  </si>
  <si>
    <t xml:space="preserve">[R] Regulasi : Prosedur pengendalian dokumen yang mengacu kepada angka 1) sampai angka 7)</t>
  </si>
  <si>
    <t xml:space="preserve">2) Terdapat format dokumen dan penyusunan dokumen sesuai dengan format yang telah ditetapkan.</t>
  </si>
  <si>
    <t xml:space="preserve">[R
D] Regulasi : Tata Naskah
Format dokumen</t>
  </si>
  <si>
    <t xml:space="preserve">Standar MI 2 Prosedur permintaan pemeriksaan — Terdapat prosedur permintaan pemeriksaan</t>
  </si>
  <si>
    <t xml:space="preserve">Standar MI 2 Prosedur permintaan pemeriksaan</t>
  </si>
  <si>
    <t xml:space="preserve">1) Terdapat prosedur permintaan pemeriksaan.</t>
  </si>
  <si>
    <t xml:space="preserve">[R] Regulasi : Prosedur permintaan pemeriksaan</t>
  </si>
  <si>
    <t xml:space="preserve">2) Terdapat kelengkapan identitas sesuai kriteria yang mencakup huruf a)  sampai huruf n) pada angka 1) untuk laboratorium medis dan huruf a) sampai huruf j) pada angka 2) untuk laboratorium kesehatan masyarakat.</t>
  </si>
  <si>
    <t xml:space="preserve">[D] Formulir permintaan pemeriksaan sesuai kriteria yang mencakup huruf a)  sampai huruf n) pada angka 1) untuk laboratorium medis dan huruf a) sampai huruf j) pada angka 2) untuk laboratorium kesehatan masyarakat.</t>
  </si>
  <si>
    <t xml:space="preserve">3) Terdapat bukti implementasi prosedur.</t>
  </si>
  <si>
    <t xml:space="preserve">[D] Bukti kepatuhan kelengkapan pengisian formulir permintaan pemeriksaan</t>
  </si>
  <si>
    <t xml:space="preserve">Standar MI 2.1 Prosedur pengambilan sampel/spesimen — Terdapat prosedur pengambilan sampel/spesimen untuk setiap pemeriksaan yang ada di laboratorium kesehatan</t>
  </si>
  <si>
    <t xml:space="preserve">Standar MI 2.1 Prosedur pengambilan sampel/spesimen</t>
  </si>
  <si>
    <t xml:space="preserve">1) Tersedia form permintaan pemeriksaan yang berisi jenis pelayanan serta dilengkapi dengan lembar persetujuan.</t>
  </si>
  <si>
    <t xml:space="preserve">[D] Form permintaan pemeriksaan yang dilengkapi lembar persetujuan</t>
  </si>
  <si>
    <t xml:space="preserve">2) Prosedur pengambilan sampel pada laboratorium kesehatan paling sedikit memuat huruf a) sampai huruf e).</t>
  </si>
  <si>
    <t xml:space="preserve">[R] Regulasi : Prosedur pengambilan sampel pada labkes paling sedikit memuat huruf a) sampai huruf e)</t>
  </si>
  <si>
    <t xml:space="preserve">3) Tersedia prosedur identifikasi pasien/sampel yang memuat paling sedikit 2 (dua) kriteria, contoh: nama, tanggal lahir, NIK, nomor register dan lain-lain.</t>
  </si>
  <si>
    <t xml:space="preserve">[R] Regulasi :Prosedur identifikasi pasien/sampel yang memuat palingsedikit 2 (dua) kriteria, contoh: nama, tanggal lahir, NIK, nomor register dan lain-lain.</t>
  </si>
  <si>
    <t xml:space="preserve">4) Penampungan sampel/spesimen diberi label identitas dengan paling sedikit 2 (dua) kriteria.</t>
  </si>
  <si>
    <t xml:space="preserve">[D
O] Bukti pelabelan identitas pada penampungan sampel/spesimen
Pelabelan identitas pada penampungan sampel/spesimen</t>
  </si>
  <si>
    <t xml:space="preserve">5) Ada bukti pengambilan sampel/spesimen mengikuti prosedur.</t>
  </si>
  <si>
    <t xml:space="preserve">[D
W] Bukti penilaian kepatuhan terhadap prosedur pengambilan sampel/spesimen 
Petugas sampling</t>
  </si>
  <si>
    <t xml:space="preserve">Standar MI 2.2 Kebijakan dan prosedur penerimaan spesimen/sampel — Terdapat kebijakan dan prosedur penerimaan spesimen/sampel/</t>
  </si>
  <si>
    <t xml:space="preserve">Standar MI 2.2 Kebijakan dan prosedur penerimaan spesimen/sampel</t>
  </si>
  <si>
    <t xml:space="preserve">1) Terdapat prosedur penerimaan spesimen yang mencakup huruf a) sampai huruf h).</t>
  </si>
  <si>
    <t xml:space="preserve">[R] Regulasi :prosedur penerimaan spesimen/sampel yang mencakup huruf a) sampai huruf h)</t>
  </si>
  <si>
    <t xml:space="preserve">2) Pelaksanaan 	penerimaan 	spesimen/sampel  didokumentasikan.</t>
  </si>
  <si>
    <t xml:space="preserve">[D] Bukti dokumentasi penerimaan spesimen/sampel.</t>
  </si>
  <si>
    <t xml:space="preserve">3) Tersedia kriteria penolakan spesimen/sampel.</t>
  </si>
  <si>
    <t xml:space="preserve">[R] Regulasi tentang kriteria penolakan spesimen/sampel</t>
  </si>
  <si>
    <t xml:space="preserve">Standar MI 3 Pemeriksaan laboratorium kesehatan dilaksanakan sesuai prosedur — Setiap pemeriksaan laboratorium dilaksanakan sesuai dengan prosedur</t>
  </si>
  <si>
    <t xml:space="preserve">Standar MI 3 Pemeriksaan laboratorium kesehatan dilaksanakan sesuai prosedur</t>
  </si>
  <si>
    <t xml:space="preserve">1) Tersedia prosedur pemeriksaan untuk 	setiap  	metode  pemeriksaan yang memuat huruf a) sampai huruf i).</t>
  </si>
  <si>
    <t xml:space="preserve">[R] Regulasi : Prosedur pemeriksaan untuk 	setiap  	metode  pemeriksaan yang memuat huruf a) sampai huruf i).</t>
  </si>
  <si>
    <t xml:space="preserve">2) Terdapat 	bukti 	pelaksanaan 	prosedur 	untuk 	setiap  pemeriksaan.</t>
  </si>
  <si>
    <t xml:space="preserve">[D] Bukti pelaksanaan prosedur untuk setiap pemeriksaan</t>
  </si>
  <si>
    <t xml:space="preserve">3) Terdapat 	bukti 	kesesuaian 	rentang 	nilai 	rujukan 	yang  ditetapkan  dengan  laporan  hasil  pemeriksaan.</t>
  </si>
  <si>
    <t xml:space="preserve">[D] Bukti laporan hasil pemeriksaan yang disertai nilai rujukan yang sudah  ditetapkan.</t>
  </si>
  <si>
    <t xml:space="preserve">Standar MI 4 Kebijakan, pedoman/panduan, prosedur dan pelaksanaan pemantauan paska analitik — Laboratorium kesehatan menetapkan kebijakan, pedoman/panduan, prosedur dan pelaksanaan pemantauan paska analitik</t>
  </si>
  <si>
    <t xml:space="preserve">Standar MI 4 Kebijakan, pedoman/panduan, prosedur dan pelaksanaan pemantauan paska analitik</t>
  </si>
  <si>
    <t xml:space="preserve">1) Terdapat 	nama 	petugas 	yang 	melakukan 	pemeriksaan, verifikasi dan validasi.</t>
  </si>
  <si>
    <t xml:space="preserve">[D] Bukti laporan hasil pemeriksaan yang mencantumkan nama petugas yang melakukan pemeriksaan, verifikasi dan validasi.</t>
  </si>
  <si>
    <t xml:space="preserve">2)  Laporan hasil pemeriksaan mencakup huruf a) sampai huruf h)</t>
  </si>
  <si>
    <t xml:space="preserve">[D] Bukti laporan hasil pemeriksaan mencakup huruf a) sampai huruf h).</t>
  </si>
  <si>
    <t xml:space="preserve">Standar MI 4.1 Penetapan waktu tunggu pemeriksaan laboratorium kesehatan — Laboratorium kesehatan menetapkan waktu tunggu pemeriksaan laboratorium kesehatan.</t>
  </si>
  <si>
    <t xml:space="preserve">Standar MI 4.1 Penetapan waktu tunggu pemeriksaan laboratorium kesehatan</t>
  </si>
  <si>
    <t xml:space="preserve">1) Pimpinan laboratorium kesehatan menetapkan waktu tunggu setiap pemeriksaan.</t>
  </si>
  <si>
    <t xml:space="preserve">[R] Regulasi tentang penetapan waktu tunggu setiap pemeriksaan</t>
  </si>
  <si>
    <t xml:space="preserve">2) Pimpinan laboratorium kesehatan menetapkan prosedur yang memuat cara untuk mengukur waktu tunggu pemeriksaan.</t>
  </si>
  <si>
    <t xml:space="preserve">[R] Regulasi : Prosedur yang memuat cara mengukur waktu tunggu pemeriksaan</t>
  </si>
  <si>
    <t xml:space="preserve">3) Waktu tunggu pemeriksaan, diukur secara rutin, sesuai dengan prosedur.</t>
  </si>
  <si>
    <t xml:space="preserve">[D
W] Bukti hasil pengukuran waktu tunggu pemeriksaan
Penanggung jawab tiap unit, petugas administrasi dan petugas pelaksanaan pemeriksaan</t>
  </si>
  <si>
    <t xml:space="preserve">Standar MI 5 Prosedur Penyimpanan dan pemeliharaan dokumen, spesimen, sampel, sediaan, jaringan, dan blok — Penyimpanan dan pemeliharaan dokumen, spesimen, sampel, sediaan, jaringan, dan blok dilaksanakan sesuai prosedur.</t>
  </si>
  <si>
    <t xml:space="preserve">Standar MI 5 Prosedur Penyimpanan dan pemeliharaan dokumen, spesimen, sampel, sediaan, jaringan, dan blok</t>
  </si>
  <si>
    <t xml:space="preserve">1) Terdapat kebijakan dan prosedur tentang penyimpanan dokumen dan sampel, spesimen, sediaan, jaringan, blok untuk memenuhi huruf a) sampai huruf d) pada angka 1).</t>
  </si>
  <si>
    <t xml:space="preserve">[R] Regulasi : Kebijakan dan prosedur tentang penyimpanan dokumen dan sampel, spesimen, sediaan, jaringan, blok untuk memenuhi huruf a) sampai huruf d) pada angka 1).</t>
  </si>
  <si>
    <t xml:space="preserve">2) Kebijakan mencakup syarat kondisi lingkungan yang layak untuk penyimpanan sampel, spesimen, sediaan, jaringan, blok.</t>
  </si>
  <si>
    <t xml:space="preserve">[R] Regulasi : Kebijakan tentang syarat kondisi lingkungan yang layak untuk penyimpanan 	sampel, spesimen, sediaan, jaringan, blok.</t>
  </si>
  <si>
    <t xml:space="preserve">3) Rentang waktu penyimpanan untuk huruf a) sampai huruf
g) pada angka 2) yang ditentukan sesuai dengan ketentuan peraturan perundang-undangan.</t>
  </si>
  <si>
    <t xml:space="preserve">[R] Regulasi tentang penetapan rentang waktu penyimpanan untuk huruf a) sampai huruf g) pada angka 2)</t>
  </si>
  <si>
    <t xml:space="preserve">4) Laboratorium 	kesehatan 	mematuhi 	rentang 	waktu  penyimpanan dokumen yang sudah ditetapkan untuk huruf g) pada angka 2).</t>
  </si>
  <si>
    <t xml:space="preserve">[D
W
O] Bukti penyimpanan dokumen huruf g) pada angka 2) sesuai rentang waktu penyimpanan yang sudah ditetapkan  
Penanggung jawab tiap unit    
Observasi dokumen sesuai huruf g) pada angka 2)</t>
  </si>
  <si>
    <t xml:space="preserve">5) Terdapat bukti penilaian kepatuhan terhadap prosedur penyimpanan.</t>
  </si>
  <si>
    <t xml:space="preserve">[D] Bukti kepatuhan  penyimpanan dokumen sesuai regulasi yang sudah ditetapkan</t>
  </si>
  <si>
    <t xml:space="preserve">6) Ada tindakan 	perbaikan  bila  terdapat ketidaksesuaian dengan prosedur yang ditetapkan</t>
  </si>
  <si>
    <t xml:space="preserve">[D] Bukti tindakan perbaikan bila terdapat ketidaksesuaian dengan prosedur yang ditetapkan</t>
  </si>
  <si>
    <t xml:space="preserve">RINGKASAN CAPAIAN BAB III</t>
  </si>
  <si>
    <t xml:space="preserve">TOTAL BAB III</t>
  </si>
  <si>
    <t xml:space="preserve">Bab IV. KUALIFIKASI DAN KOMPETENSI STAF (KKS) — KONTEN RESMI LENGKAP</t>
  </si>
  <si>
    <t xml:space="preserve">Standar KKS 1 Kualifikasi dan kompetensi SDM — Pimpinan laboratorium kesehatan menetapkan persyaratan kualifikasi dan kompetensi bagi SDM laboratorium kesehatan</t>
  </si>
  <si>
    <t xml:space="preserve">Standar KKS 1 Kualifikasi dan kompetensi SDM</t>
  </si>
  <si>
    <t xml:space="preserve">1) Pimpinan laboratorium kesehatan menyusun perencanaan SDM laboratorium kesehatan sesuai kebutuhan, berdasarkan visi dan misi laboratorium kesehatan, analisis beban kerja, dan teknologi kesehatan yang digunakan di laboratorium kesehatan.</t>
  </si>
  <si>
    <t xml:space="preserve">[D] Bukti perhitungan kebutuhan SDM berdasarkan Analisis Beban Kerja (ABK)</t>
  </si>
  <si>
    <t xml:space="preserve">2) Pimpinan laboratorium kesehatan menetapkan persyaratan kualifikasi dan kompetensi bagi SDM laboratorium kesehatan sesuai dengan tugas pokok dan fungsi.</t>
  </si>
  <si>
    <t xml:space="preserve">[R] Regulasi Manajemen SDM meliputi perencanaan dan pengelolaan, pendidikan dan pelatihan, kesehatan dan keselamatan kerja.</t>
  </si>
  <si>
    <t xml:space="preserve">3) Tersedia SDM laboratorium kesehatan yang memiliki kualifikasi dan kompetensi sesuai dengan kebutuhan laboratorium kesehatan.</t>
  </si>
  <si>
    <t xml:space="preserve">[D] Data Kepegawaian sesuai kualifikasi dan kompetensi sesuai dengan kebutuhan laboratorium kesehatan.</t>
  </si>
  <si>
    <t xml:space="preserve">Standar KKS 1.1 Tanggung jawab dan uraian tugas SDM — SDM laboratorium kesehatan memiliki tanggung jawab sesuai dengan uraian tugas</t>
  </si>
  <si>
    <t xml:space="preserve">Standar KKS 1.1 Tanggung jawab dan uraian tugas SDM</t>
  </si>
  <si>
    <t xml:space="preserve">1)  Setiap petugas memiliki uraian tugas</t>
  </si>
  <si>
    <t xml:space="preserve">[R] Regulasi Uraian Tugas: 
(SK petugas yang dilengkapi dengan uraian tugas)</t>
  </si>
  <si>
    <t xml:space="preserve">2)  Uraian tugas mencakup huruf a) dan huruf b)  sesuai dengan tugas dan tanggung jawabnya.</t>
  </si>
  <si>
    <t xml:space="preserve">[D] Bukti uraian tugas mencakup huruf (a) dan huruf (b) sesuai dengan tugas dan tanggung jawabnya.</t>
  </si>
  <si>
    <t xml:space="preserve">Standar KKS 1.1.1 Dokumen Kompetensi SDM</t>
  </si>
  <si>
    <t xml:space="preserve">1) Terdapat Ijazah, STR dan surat izin untuk menjalankan praktek profesional untuk tenaga medis dan tenaga kesehatan serta terdapat ijazah untuk tenaga non kesehatan di laboratorium kesehatan.</t>
  </si>
  <si>
    <t xml:space="preserve">[D] Tenaga Medis dan tenaga kesehatan: jazah, STR dan SIP. 
Tenaga non kesehatan: ijazah</t>
  </si>
  <si>
    <t xml:space="preserve">2) Terdapat bukti verifikasi ijazah, STR dan surat izin untuk menjalankan praktek profesional dari laboratorium kesehatan ke lembaga pendidikan/organisasi profesi yang mengeluarkan ijazah, STR dan surat izin untuk menjalankan praktek professional.</t>
  </si>
  <si>
    <t xml:space="preserve">[D
W] Bukti verifikasi ijazah, STR dan SIP dari Laboratorium Kesehatan ke lembaga pendidikan / organisasi profesi yang mengeluarkan ijazah, STR dan SIP
Kepala Tata Usaha Labkes/ Kepegawaian Labkes</t>
  </si>
  <si>
    <t xml:space="preserve">Standar KKS 1.2 Kualifikasi dan keahlian koordinator/penanggungjawab laboratorium kesehatan</t>
  </si>
  <si>
    <t xml:space="preserve">1) Koordinator/penanggung jawab laboratorium kesehatan memiliki kualifikasi, kompetensi dan pengalaman yang sesuai dengan tugas dan tanggungjawabnya.</t>
  </si>
  <si>
    <t xml:space="preserve">[D
W] File kepegawaian koordinator/penanggung jawab laboratorium kesehatan sesuai kualifikasi, kompetensi dan pengalaman yang sesuai dengan tugas dan tanggung jawabnya. 
Kepala Tata Usaha Labkes/Kepegawaian Labkes dan Penanggung Jawab Labkes.</t>
  </si>
  <si>
    <t xml:space="preserve">2) Terdapat penetapan Koordinator/ penanggung jawab laboratorium kesehatan oleh pimpinan laboratorium kesehatan sesuai dengan peraturan perundang-undangan.</t>
  </si>
  <si>
    <t xml:space="preserve">[R] Regulasi:
SK penetapan koordinator/penanggung jawab Laboratorium Kesehatan sesuai dengan peraturan perundang-undangan.</t>
  </si>
  <si>
    <t xml:space="preserve">Standar KKS 2 Program orientasi bagi SDM — SDM laboratorium kesehatan yang baru mengikuti program orientasi sebelum bertugas agar memahami tugas dan tanggung jawab di laboratorium kesehatan.</t>
  </si>
  <si>
    <t xml:space="preserve">Standar KKS 2 Program orientasi bagi SDM</t>
  </si>
  <si>
    <t xml:space="preserve">1) Semua SDM laboratorium kesehatan mengikuti program orientasi.</t>
  </si>
  <si>
    <t xml:space="preserve">[R
D
W] Program orientasi bagi SDM pemula, pegawai yang dirotasi di dalam lingkungan labkes, petugas dalam program pendidikan dan petugas magang sesuai maksud dan tujuan.
Bukti pelaksanaan orientasi semua SDM Labkes 
Semua SDM Labkes</t>
  </si>
  <si>
    <t xml:space="preserve">2) Pelaksanaan orientasi didokumentasikan.</t>
  </si>
  <si>
    <t xml:space="preserve">[D] Dokumentasi pelaksanaan orientasi</t>
  </si>
  <si>
    <t xml:space="preserve">Standar KKS 2.1 Program pelatihan dan pendidikan berkelanjutan bagi setiap SDM laboratorium kesehatan — Terdapat program pelatihan dan pendidikan berkelanjutan bagi setiap SDM laboratorium kesehatan untuk meningkatkan ketrampilan, pengetahuan dan kompete</t>
  </si>
  <si>
    <t xml:space="preserve">Standar KKS 2.1 Program pelatihan dan pendidikan berkelanjutan bagi setiap SDM laboratorium kesehatan</t>
  </si>
  <si>
    <t xml:space="preserve">1) Terdapat bukti identifikasi kebutuhan pelatihan dan/atau pendidikan berkelanjutan yang memuat paling sedikit salah satu dari huruf a) sampai huruf g).</t>
  </si>
  <si>
    <t xml:space="preserve">[D
W] Bukti Identifikasi kebutuhan pelatihan dan/atau pendidikan berkelanjutan yang memuat paling sedikit salah satu huruf a) sampai huruf g).
Kepala Tata Usaha/Kepegawain Labkes, Penanggung Jawab Tiap Unit.</t>
  </si>
  <si>
    <t xml:space="preserve">2) Terdapat program pelatihan dan pendidikan berkelanjutan bagi SDM laboratorium kesehatan.</t>
  </si>
  <si>
    <t xml:space="preserve">[R] Program pelatihan dan Program pelatihan dan pendidikan berkelanjutan bagi   SDM   Labkes.</t>
  </si>
  <si>
    <t xml:space="preserve">3) Terdapat bukti pelaksanaan kegiatan pelatihan dan pendidikan berkelanjutan.</t>
  </si>
  <si>
    <t xml:space="preserve">[D
 W] Bukti pelaksanaan kegiatan pelatihan dan pendidikan berkelanjutan.
Kepala Tata Usaha/Kepegawaian Labkes, Penanggung Jawab Tiap Unit</t>
  </si>
  <si>
    <t xml:space="preserve">Standar KKS 3 Pemantauan, penilaian, evaluasi terhadap kinerja dan kompetensi SDM laboratorium kesehatan — Pemantauan, penilaian, evaluasi terhadap kinerja dan kompetensi SDM laboratorium kesehatan paling singkat 1 (satu) tahun sekali</t>
  </si>
  <si>
    <t xml:space="preserve">Standar KKS 3 Pemantauan, penilaian, evaluasi terhadap kinerja dan kompetensi SDM laboratorium kesehatan</t>
  </si>
  <si>
    <t xml:space="preserve">1) Terdapat kebijakan/prosedur evaluasi kinerja dan kompetensi SDM laboratorium kesehatan.</t>
  </si>
  <si>
    <t xml:space="preserve">[R] Regulasi:
(Kebijakan/Prosedur) evaluasi kinerja dan kompetensi SDM Labkes</t>
  </si>
  <si>
    <t xml:space="preserve">2) Terdapat instrumen dan indikator penilaian kinerja dan kompetensi SDM laboratorium kesehatan.</t>
  </si>
  <si>
    <t xml:space="preserve">[D
 W] Bukti penilaian kinerja dan kompetensi SDM Labkes berupa instrumen (Checklist)  yang berisi indikator penilaian kinerja dan kompetensi SDM Labkes.
Kepala Labkes, Kepala Tata Usaha/Kepegawaian Labkes, Penanggung Jawab Tiap Unit dan SDM terkait.,</t>
  </si>
  <si>
    <t xml:space="preserve">Standar KKS 3.1 Dokumen data kepegawaian SDM — Dokumen data kepegawaian SDM Laboratorium kesehatan</t>
  </si>
  <si>
    <t xml:space="preserve">Standar KKS 3.1 Dokumen data kepegawaian SDM</t>
  </si>
  <si>
    <t xml:space="preserve">1) Laboratorium kesehatan menetapkan isi file data kepegawaian.</t>
  </si>
  <si>
    <t xml:space="preserve">[R] Regulasi:
Kebijakan/Pedoman/Prosedur file kepegawaian yang meliputi angka1) sd 6) sesuai maksud dan tujuan.</t>
  </si>
  <si>
    <t xml:space="preserve">2) Terdapat bukti data kepegawaian yang mencakup angka 1) sampai angka 6).</t>
  </si>
  <si>
    <t xml:space="preserve">[D
O
W] Data Kepegawaian  yang mencakup angka 1) sampai angka 6)
File Kepegawaian
Kepala Labkes, Kepala Tata Usaha/Kepegawaian Labkes, dan SDM Labkes</t>
  </si>
  <si>
    <t xml:space="preserve">3) Laboratorium kesehatan menetapkan penanggung jawab dokumen kepegawaian.</t>
  </si>
  <si>
    <t xml:space="preserve">[R] Regulasi:
	SK penetapan penanggung  jawab	 	dokumen kepegawaian</t>
  </si>
  <si>
    <t xml:space="preserve">Standar KKS 4 Program kesehatan dan keselamatan kerja SDM laboratorium kesehatan — Laboratorium kesehatan mempunyai program kesehatan dan keselamatan kerja SDM laboratorium</t>
  </si>
  <si>
    <t xml:space="preserve">Standar KKS 4 Program kesehatan dan keselamatan kerja SDM laboratorium kesehatan</t>
  </si>
  <si>
    <t xml:space="preserve">1) Terdapat program kesehatan dan keselamatan kerja serta program pemeriksaan kesehatan SDM di laboratorium kesehatan sesuai dengan ketentuan peraturan perundang-undangan.</t>
  </si>
  <si>
    <t xml:space="preserve">[R] Program kesehatan dan keselamatan kerja serta pemeriksaan kesehatan SDM di Laboratorium kesehatan.</t>
  </si>
  <si>
    <t xml:space="preserve">2) Terdapat implementasi program kesehatan dan keselamatan kerja serta program pemeriksaan kesehatan SDM laboratorium kesehatan secara berkala.</t>
  </si>
  <si>
    <t xml:space="preserve">[D
W] Bukti pelaksanaan program kesehatan dan keselamatan kerja serta program pemeriksaan kesehatan SDM Laboratorium Kesehatan secara berkala.
Kepala Labkes, Kepala Tata Usaha/Kepegawaian Labkes, SDM Labkes</t>
  </si>
  <si>
    <t xml:space="preserve">3) Dilakukan evaluasi dan tindak lanjut bagi SDM laboratorium kesehatan yang mengalami cedera akibat kecelakan kerja.</t>
  </si>
  <si>
    <t xml:space="preserve">[D] Bukti evaluasi dan tindak lanjut bagi SDM Laboratorium Kesehatan yang mengalami cedera akibat kecelakan kerja</t>
  </si>
  <si>
    <t xml:space="preserve">RINGKASAN CAPAIAN BAB IV</t>
  </si>
  <si>
    <t xml:space="preserve">TOTAL BAB IV</t>
  </si>
  <si>
    <t xml:space="preserve">Bab V. MANAJEMEN FASILITAS DAN KESELAMATAN (MFK) — KONTEN RESMI LENGKAP</t>
  </si>
  <si>
    <t xml:space="preserve">Standar MFK 1 Standar Fasilitas — Pelayanan laboratorium kesehatan yang berkualitas perlu didukung dengan ketersediaan fasilitas sesuai standar dan klasifikasi laboratorium kesehatan, </t>
  </si>
  <si>
    <t xml:space="preserve">Standar MFK 1 Standar Fasilitas</t>
  </si>
  <si>
    <t xml:space="preserve">1) Terdapat kebijakan dan pedoman pengelolaan fasilitas sesuai dengan ketentuan peraturan perundang-undangan.</t>
  </si>
  <si>
    <t xml:space="preserve">[R] Regulasi : Kebijakan dan Pedoman  pengelolaan fasilitas sesuai peraturan perundang-undangan</t>
  </si>
  <si>
    <t xml:space="preserve">2) Terdapat 	bukti 	implementasi 	pemenuhan 	standar 	fasilitas laboratorium kesehatan.</t>
  </si>
  <si>
    <t xml:space="preserve">[D
W] Bukti  implementasi pemenuhan standar fasilitas labkes (misalnya : inventarisasi  fasilitas Laboratorium Kesehatan, analisis pemenuhan  sesuai standar dan tindaklanjutnya)
Pimpinan labkes</t>
  </si>
  <si>
    <t xml:space="preserve">3) Terdapat bukti evaluasi pemanfaatan fasilitas secara berkala dan ditindaklanjuti.</t>
  </si>
  <si>
    <t xml:space="preserve">[D] Bukti evaluasi dan tindak lanjut pemanfaatan fasilitas secara berkala</t>
  </si>
  <si>
    <t xml:space="preserve">Standar MFK 2 Standar ruang pelayanan — Ruangan untuk seluruh pelayanan sesuai standar</t>
  </si>
  <si>
    <t xml:space="preserve">Standar MFK 2 Standar ruang pelayanan</t>
  </si>
  <si>
    <t xml:space="preserve">1)	  Terdapat denah ruangan dan perlengkapan yang memadai untuk menjamin keamanan dan efektifitas pelayanan</t>
  </si>
  <si>
    <t xml:space="preserve">[D] Denah ruangan dan perlengkapan yang memadai untuk menjamin keamanan dan efektifitas pelayanan</t>
  </si>
  <si>
    <t xml:space="preserve">2)	  Terdapat ruang laboratorium yang aman dan nyaman untuk petugas, pasien dan pengunjung sesuai standar</t>
  </si>
  <si>
    <t xml:space="preserve">[O] Ruangan laboratorium yang aman dan nyaman untuk petugas, pasien dan pengunjung sesuai standar</t>
  </si>
  <si>
    <t xml:space="preserve">3)	  Terdapat ruang yang cukup untuk pelayanan mulai dari pengambilan, pengelolaan dan pemeriksaan sampel/spesimen</t>
  </si>
  <si>
    <t xml:space="preserve">[O] Ruangan yang cukup untuk pelayanan mulai dari pengambilan, pengelolaan dan pemeriksaan sampel/spesimen</t>
  </si>
  <si>
    <t xml:space="preserve">4)	  Terdapat ruang penempatan alat yang mudah diakses dan mempunyai ventilasi baik</t>
  </si>
  <si>
    <t xml:space="preserve">[O] Ruangan penyimpanan alat yang mudah diakses dan mempunyai ventilasi baik</t>
  </si>
  <si>
    <t xml:space="preserve">5) Terdapat ruang pengambilan sampel/spesimen yang memenuhi kriteria huruf a) sampai huruf e).</t>
  </si>
  <si>
    <t xml:space="preserve">[O] Ruang pengambilan sampel/spesimen yang memenuhi kriteria huruf a) sampai huruf e)</t>
  </si>
  <si>
    <t xml:space="preserve">6)	  Terdapat bukti bahwa sanitasi dan kebersihan seluruh area pelayanan terjamin sesuai standar</t>
  </si>
  <si>
    <t xml:space="preserve">[O] Sanitasi dan kebersihan seluruh area pelayanan terjamin sesuai standar</t>
  </si>
  <si>
    <t xml:space="preserve">Standar MFK 2.1 Standar ruang penyimpanan reagen, cairan, gas — Ruang penyimpanan reagen, cairan, gas yang mudah terbakar dan bahan-bahan lain yang dibutuhkan tersedia secara memadai dan terpelihara.</t>
  </si>
  <si>
    <t xml:space="preserve">Standar MFK 2.1 Standar ruang penyimpanan reagen, cairan, gas</t>
  </si>
  <si>
    <t xml:space="preserve">1) Terdapat pedoman/Standar Prosedur Operasional (SPO) tentang penyimpanan reagen, cairan, gas yang mudah terbakar dan bahan-bahan lainnya.</t>
  </si>
  <si>
    <t xml:space="preserve">[R] Regulasi : Pedoman/SPO	 tentang penyimpanan reagen, cairan, gas yang mudah terbakar dan bahan-bahan lainnya</t>
  </si>
  <si>
    <t xml:space="preserve">2)	Terdapat ruang penyimpanan reagen, cairan, gas yang mudah terbakar dan bahan-bahan lain yang dibutuhkan sesuai standar</t>
  </si>
  <si>
    <t xml:space="preserve">[O] Ruang penyimpanan reagen, cairan, gas yang mudah terbakar dan bahan-bahan lain yang dibutuhkan sesuai standar</t>
  </si>
  <si>
    <t xml:space="preserve">3) Terdapat kontrol suhu dan kelembaban ruang penyimpanan.</t>
  </si>
  <si>
    <t xml:space="preserve">[D] Bukti  monitoring kontrol suhu dan kelembaban ruang penyimpanan.</t>
  </si>
  <si>
    <t xml:space="preserve">4) Terdapat bukti tertulis pemeliharaan ruang penyimpanan reagen, cairan, gas yang mudah terbakar dan bahan-bahan lainnya.</t>
  </si>
  <si>
    <t xml:space="preserve">[D] Bukti pemeliharaan ruang penyimpanan reagen, cairan, gas yang mudah terbakar dan bahan-bahan lainnya.</t>
  </si>
  <si>
    <t xml:space="preserve">Standar MFK 2.2 Keamanan dan kerahasiaan dokumen — Dokumen laboratorium kesehatan terjamin keamanan dan kerahasiaannya</t>
  </si>
  <si>
    <t xml:space="preserve">Standar MFK 2.2 Keamanan dan kerahasiaan dokumen</t>
  </si>
  <si>
    <t xml:space="preserve">1) Terdapat 	bukti 	kebijakan 	untuk 	menjaga  kerahasiaan, keamanan, privasi, integritas data dan informasi.</t>
  </si>
  <si>
    <t xml:space="preserve">[R] Regulasi :  kebijakan untuk menjaga	kerahasiaan, keamanan, privasi, integritas data dan informasi</t>
  </si>
  <si>
    <t xml:space="preserve">2) Terdapat bukti bahwa data dan informasi terjaga dari kerusakan.</t>
  </si>
  <si>
    <t xml:space="preserve">[D
O] Daftar inventarisasi fasilitas labkes untuk menjaga keamanan data dan informasi terlindungi dari kerusakan 
Fasilitas labkes mendukung keamanan data dan informasi terlindungi dari kerusakan</t>
  </si>
  <si>
    <t xml:space="preserve">3) Terdapat bukti bahwa hanya 	petugas yang berwenang yang dapat mengakses data dan informasi</t>
  </si>
  <si>
    <t xml:space="preserve">[D
 W] Daftar 	petugas yang berwenang yang dapat mengakses data dan informasi.
Petugas labkes</t>
  </si>
  <si>
    <t xml:space="preserve">4) Terdapat bukti penyimpanan	 data dan informasi yang terpelihara.</t>
  </si>
  <si>
    <t xml:space="preserve">[D] Bukti pemeliharaan penyimpanan data	 dan informasi secara berkala</t>
  </si>
  <si>
    <t xml:space="preserve">Standar MFK 3 Program pengelolaan prasarana — Program pengelolaan prasarana yang efektif dan efisien</t>
  </si>
  <si>
    <t xml:space="preserve">Standar MFK 3 Program pengelolaan prasarana</t>
  </si>
  <si>
    <t xml:space="preserve">1) Terdapat dokumen penetapan periode waktu pemeliharaan prasarana dengan mengacu pada tingkat risiko atau referensi lain.</t>
  </si>
  <si>
    <t xml:space="preserve">[R] Regulasi tentang penetapan periode waktu pemeliharaan prasarana dengan mengacu pada tingkat risiko atau referensi lain</t>
  </si>
  <si>
    <t xml:space="preserve">2) Terdapat daftar prasarana yang sesuai pada maksud dan tujuan.</t>
  </si>
  <si>
    <t xml:space="preserve">[D] Daftar prasarana yang sesuai pada maksud dan tujuan</t>
  </si>
  <si>
    <t xml:space="preserve">3) Terdapat pemantauan, pengujian dan pemeliharaan semua prasarana laboratorium kesehatan untuk memastikan bahwa semua prasarana terpelihara dan berfungsi dengan baik.</t>
  </si>
  <si>
    <t xml:space="preserve">[D] Bukti pemantauan, pengujian dan pemeliharaan semua prasarana laboratorium kesehatan untuk memastikan bahwa semua prasarana terpelihara dan berfungsi dengan baik.</t>
  </si>
  <si>
    <t xml:space="preserve">4) Terdapat petunjuk untuk pemadaman darurat.</t>
  </si>
  <si>
    <t xml:space="preserve">[R] Regulasi tentang petunjuk pemadaman utilitas  pada kondisi darurat</t>
  </si>
  <si>
    <t xml:space="preserve">Standar MFK 3.1 Pemantauan, pemeliharaan dan perbaikan prasarana — Dilakukan pemantauan, pemeliharaan dan perbaikan terhadap prasarana secara berkala sesuai peraturan perundang-undangan.</t>
  </si>
  <si>
    <t xml:space="preserve">Standar MFK 3.1 Pemantauan, pemeliharaan dan perbaikan prasarana</t>
  </si>
  <si>
    <t xml:space="preserve">1) Terdapat pengawasan terhadap prasarana yang dilakukan sesuai kriteria yang ditetapkan.</t>
  </si>
  <si>
    <t xml:space="preserve">[D
O
W] Bukti pengawasan terhadap prasarana yang dilakukan sesuai 	kriteria 	yang ditetapkan (contoh: check list pemantauan harian)
Sistem utilitas
Pimpinan labkes dan petugas terkait</t>
  </si>
  <si>
    <t xml:space="preserve">2) Terdapat pengujian prasarana sesuai kriteria yang ditetapkan</t>
  </si>
  <si>
    <t xml:space="preserve">[D] Bukti pengujian prasarana sesuai kriteria yang ditetapkan</t>
  </si>
  <si>
    <t xml:space="preserve">3) Terdapat pemeliharaan prasarana sesuai kriteria yang ditetapkan</t>
  </si>
  <si>
    <t xml:space="preserve">[D] Bukti pemeliharaan prasarana sesuai kriteria yang ditetapkan</t>
  </si>
  <si>
    <t xml:space="preserve">Standar MFK 3.2 Prasarana yang bersifat kritis dan ketersediaan sumber alternatif — Pemeliharaan prasarana yang bersifat kritis dan ketersediaan sumber alternatif secara berkala sesuai dengan ketentuan peraturan perundang-undangan.</t>
  </si>
  <si>
    <t xml:space="preserve">Standar MFK 3.2 Prasarana yang bersifat kritis dan ketersediaan sumber alternatif</t>
  </si>
  <si>
    <t xml:space="preserve">1) Terdapat prosedur untuk melakukan pengujian prasarana yang bersifat kritis.</t>
  </si>
  <si>
    <t xml:space="preserve">[R] Regulasi : Prosedur pengujian prasarana yang bersifat kritis.</t>
  </si>
  <si>
    <t xml:space="preserve">2) Terdapat dokumentasi inspeksi, hasil pengujian, dan pemantauan prasarana yang bersifat kritis.</t>
  </si>
  <si>
    <t xml:space="preserve">[D] Bukti hasil inspeksi, pengujian, dan pemantauan prasarana yang bersifat kritis</t>
  </si>
  <si>
    <t xml:space="preserve">3) Terdapat bukti tindakan perbaikan jika diperlukan.</t>
  </si>
  <si>
    <t xml:space="preserve">[D] Bukti tindakan perbaikan jika diperlukan</t>
  </si>
  <si>
    <t xml:space="preserve">Standar MFK 4.1 Uji fungsi, inspeksi, pemeliharaan, kalibrasi. — Laboratorium kesehatan menetapkan regulasi yang mengatur tentang uji fungsi, inspeksi, pemeliharaan, kalibrasi secara berkala terhadap semua peralatan</t>
  </si>
  <si>
    <t xml:space="preserve">Standar MFK 4.1 Uji fungsi, inspeksi, pemeliharaan, kalibrasi.</t>
  </si>
  <si>
    <t xml:space="preserve">1) Terdapat regulasi dan program pengelolaan peralatan.</t>
  </si>
  <si>
    <t xml:space="preserve">[R] Regulasi : program pengelolaan peralatan</t>
  </si>
  <si>
    <t xml:space="preserve">2) Terdapat daftar inventaris semua peralatan.</t>
  </si>
  <si>
    <t xml:space="preserve">[D] Daftar inventaris semua peralatan.</t>
  </si>
  <si>
    <t xml:space="preserve">3) Terdapat dokumen bukti inspeksi dan uji fungsi secara berkala sesuai dengan aturan yang berlaku.</t>
  </si>
  <si>
    <t xml:space="preserve">[D] Bukti inspeksi dan uji fungsi baik secara berkala sesuai dengan aturan yang berlaku</t>
  </si>
  <si>
    <t xml:space="preserve">4) Terdapat bukti pelaksanaan Tindakan huruf a) sampai huruf g)  dan didokumentasikan.</t>
  </si>
  <si>
    <t xml:space="preserve">[D] Bukti pelaksaan tindakan huruf a) sampai huruf g) dan didokumentasikan</t>
  </si>
  <si>
    <t xml:space="preserve">5) Terdapat petugas yang kompeten untuk melakukan pemantauan dan pemeliharaan peralatan.</t>
  </si>
  <si>
    <t xml:space="preserve">[D
W] File kepegawaian berisi kompetensi petugas yang melakukan pemantauan dan pemeliharaan peralatan.
Kepala TU/Kepegawaian dan petugas terkait</t>
  </si>
  <si>
    <t xml:space="preserve">Standar MFK 4.1.1 Riwayat penggunaan peralatan — Pencatatan riwayat penggunaan setiap peralatan yang digunakan</t>
  </si>
  <si>
    <t xml:space="preserve">Standar MFK 4.1.1 Riwayat penggunaan peralatan</t>
  </si>
  <si>
    <t xml:space="preserve">1) Terdapat pencatatan riwayat penggunaan untuk setiap peralatan laboratorium kesehatan berisi informasi yang diperlukan mencakup huruf a) hingga huruf f).</t>
  </si>
  <si>
    <t xml:space="preserve">[D] Bukti pencatatan riwayat penggunaan untuk setiap peralatan laboratorium kesehatan berisi informasi yang diperlukan mencakup huruf a) hingga huruf f).</t>
  </si>
  <si>
    <t xml:space="preserve">2) Terdapat pencatatan penggunaan harian, mingguan, atau bulanan dan memastikan apakah peralatan masih berfungsi dengan baik.</t>
  </si>
  <si>
    <t xml:space="preserve">[D] Bukti pencatatan penggunaan harian, mingguan, atau bulanan dan memastikan apakah peralatan masih berfungsi dengan baik.</t>
  </si>
  <si>
    <t xml:space="preserve">3) Semua catatan dilengkapi dengan tanggal dan nama petugas yang bertanggung jawab.</t>
  </si>
  <si>
    <t xml:space="preserve">[D
W] Bukti pencatatan yang dilengkapi dengan tanggal dan nama petugas yang bertanggung jawab. 
Petugas terkait</t>
  </si>
  <si>
    <t xml:space="preserve">Standar MFK 4.2 Pengelolaan komputer dan perangkat lunak — Komputer dan perangkat lunak divalidasi/ diverifikasi dan dipelihara sebelum digunakan.</t>
  </si>
  <si>
    <t xml:space="preserve">Standar MFK 4.2 Pengelolaan komputer dan perangkat lunak</t>
  </si>
  <si>
    <t xml:space="preserve">1) Terdapat bukti verifikasi/validasi dan pemeliharaan komputer dan perangkat lunak sebelum digunakan.</t>
  </si>
  <si>
    <t xml:space="preserve">[D] Bukti validasi/verifikasi dan pemeliharaan komputer dan perangkat lunak sebelum digunakan</t>
  </si>
  <si>
    <t xml:space="preserve">2) Terdapat ruangan dengan suhu yang sesuai ketentuan untuk Penempatan komputer.</t>
  </si>
  <si>
    <t xml:space="preserve">[D
O] Bukti pencatatan suhu ruangan</t>
  </si>
  <si>
    <t xml:space="preserve">3) Terdapat prosedur penggunaan komputer dan pemeliharaan secara rutin.</t>
  </si>
  <si>
    <t xml:space="preserve">[R
O] Regulasi: prosedur penggunaan komputer dan pemeliharaan secara rutin
Pemeliharaan komputer</t>
  </si>
  <si>
    <t xml:space="preserve">4) Terdapat prosedur yang ditetapkan untuk melindungi data dan informasi dari kehilangan, kerusakan, gangguan, dan akses atau penggunaan yang tidak sah.</t>
  </si>
  <si>
    <t xml:space="preserve">[R
O] Regulasi : prosedur perlindungan data dan informasi dari kehilangan, kerusakan, gangguan, dan akses atau penggunaan yang tidak sah
Fasilitas terkait perlindungan data dan informasi dari kehilangan, kerusakan, gangguan dan akses atau penggunaan yang tidak sah.</t>
  </si>
  <si>
    <t xml:space="preserve">5) Terdapat prosedur untuk menjamin terlaksananya pelaporan hasil pemeriksaan tepat waktu walaupun komputer tidak berfungsi dengan baik.</t>
  </si>
  <si>
    <t xml:space="preserve">[R
W] Regulasi : Prosedur pelaporan hasil pemeriksaan walaupun komputer tidak berfungsi dengan baik
Petugas terkait</t>
  </si>
  <si>
    <t xml:space="preserve">Standar MFK 4.3 Prosedur penggunaan dan evaluasi reagen — Laboratorium kesehatan mengikuti prosedur penggunaan dan evaluasi reagen termasuk air, untuk menjamin keakuratan hasil laboratorium kesehatan.</t>
  </si>
  <si>
    <t xml:space="preserve">Standar MFK 4.3 Prosedur penggunaan dan evaluasi reagen</t>
  </si>
  <si>
    <t xml:space="preserve">1)	  Terdapat evaluasi terhadap reagen, termasuk air, sesuai prosedur secara berkala.</t>
  </si>
  <si>
    <t xml:space="preserve">[R
D] Regulasi tentang Evaluasi terhadap reagen termasuk air.
Bukti pelaksanaan evaluasi terhadap reagen termasuk air</t>
  </si>
  <si>
    <t xml:space="preserve">2)	  Terdapat verifikasi reagen, termasuk air sebelum digunakan.</t>
  </si>
  <si>
    <t xml:space="preserve">[D] Bukti pelaksanaan verifikasi reagen, termasuk air sebelum digunakan.</t>
  </si>
  <si>
    <t xml:space="preserve">3)	  Terdapat penyimpanan reagen sesuai standar.</t>
  </si>
  <si>
    <t xml:space="preserve">[R
D] Regulasi tentang penyimpanan reagen
Bukti penyimpanan reagen</t>
  </si>
  <si>
    <t xml:space="preserve">4)	  Bahan yang digunakan oleh laboratorium kesehatan  memenuhi persyaratan untuk menjamin keakuratan dan presisi.</t>
  </si>
  <si>
    <t xml:space="preserve">[D] Bukti bahan yang digunakan oleh labkes memenuhi persyaratan untuk menjamin keakuratan dan presisi (contoh: uji validasi dari produsen)</t>
  </si>
  <si>
    <t xml:space="preserve">Standar MFK 5 Program keamanan dan keselamatan fasilitas — Laboratorium kesehatan menyusun program untuk menjamin keselamatan dan keamanan fasilitas serta pelayanan</t>
  </si>
  <si>
    <t xml:space="preserve">Standar MFK 5 Program keamanan dan keselamatan fasilitas</t>
  </si>
  <si>
    <t xml:space="preserve">1)	  Terdapat program dan bukti implementasi upaya keselamatan dan keamanan fasilitas serta pelayanan.</t>
  </si>
  <si>
    <t xml:space="preserve">[R
D] Regulasi : Program upaya keselamatan dan keamanan fasilitas serta pelayanan.
Bukti implementasi program upaya keselamatan dan keamanan   fasilitas   serta pelayanan</t>
  </si>
  <si>
    <t xml:space="preserve">2)	  Terdapat upaya pengamanan terhadap spesimen, sumber daya lain dan akses ke ruang laboratorium.</t>
  </si>
  <si>
    <t xml:space="preserve">[D] Bukti implementasi pengamanan terhadap spesimen, sumber daya lain dan akses ke ruang laboratorium</t>
  </si>
  <si>
    <t xml:space="preserve">3)	  Terdapat upaya pengamanan terhadap petugas, pengguna layanan, properti dan peralatan.</t>
  </si>
  <si>
    <t xml:space="preserve">[D
W] Bukti implementasi terhadap petugas, pengguna layanan, properti dan peralatan. 
Tim Mutu/Tim K3 Labkes</t>
  </si>
  <si>
    <t xml:space="preserve">Standar MFK 6 Pengelolaan Bahan Berbahaya dan Beracun (B3). — Tersedia program untuk inventarisasi, penanganan, penyimpanan, dan penggunaan Bahan Berbahaya dan Beracun (B3).</t>
  </si>
  <si>
    <t xml:space="preserve">Standar MFK 6 Pengelolaan Bahan Berbahaya dan Beracun (B3).</t>
  </si>
  <si>
    <t xml:space="preserve">1)	  Terdapat identifikasi lokasi, jenis, dan jumlah B3 dan limbah di dalam laboratorium kesehatan.</t>
  </si>
  <si>
    <t xml:space="preserve">[D] Bukti identifikasi B3 dan limbah berdasarkan jenis, jumlah dan lokasi.</t>
  </si>
  <si>
    <t xml:space="preserve">2)	  Terdapat program penetapan dan penerapan penanganan, penyimpanan, serta penggunaan B3 dan limbah yang aman, misalnya kadar formaldehyde dan xylene di bawah nilai ambang batas.</t>
  </si>
  <si>
    <t xml:space="preserve">[R
 D] Regulasi : Program penetapan dan penerapan penanganan, penyimpanan  serta penggunaan B3 dan limbah yang aman.
Bukti implementasi program  penetapan dan penerapan penanganan, penyimpanan  serta penggunaan B3 dan limbah yang aman.</t>
  </si>
  <si>
    <t xml:space="preserve">3)	  Terdapat prosedur penggunaan APD dan dilaksanakan.</t>
  </si>
  <si>
    <t xml:space="preserve">[R
D
O
W
S] Regulasi : Prosedur penggunaan APD
Bukti kepatuhan penggunaan APD
Ketersediaan dan penggunaan APD
Petugas labkes
Peragaan penggunaan APD sesuai prosedur</t>
  </si>
  <si>
    <t xml:space="preserve">4)	  Terdapat prosedur pelabelan yang tepat untuk B3 dan limbah.</t>
  </si>
  <si>
    <t xml:space="preserve">[R] Regulasi: prosedur  pelabelan B3 dan limbah</t>
  </si>
  <si>
    <t xml:space="preserve">5)	  Terdapat ijin pengelolaan limbah sesuai dengan ketentuan peraturan perundang-undangan</t>
  </si>
  <si>
    <t xml:space="preserve">[D] Bukti ijin pengelolaan limbah baik yang dikelola sendiri maupun yang bekerja sama dengan pihak ketiga. Bila bekerja sama dengan pihak ke 3 harus memiliki ijin sesuai ketentuan peraturan perundang-undangan yang berlaku baik untuk pengelolaan maupun transporter.</t>
  </si>
  <si>
    <t xml:space="preserve">Standar MFK 6.1 Program pengendalian dan pengelolaan B3 dan limbah — Laboratorium kesehatan memiliki program untuk pengendalian dan pengelolaan B3 dan limbah</t>
  </si>
  <si>
    <t xml:space="preserve">Standar MFK 6.1 Program pengendalian dan pengelolaan B3 dan limbah</t>
  </si>
  <si>
    <t xml:space="preserve">1)	  Terdapat alur pelaporan dan investigasi apabila terjadi tumpahan, paparan dan insiden lainnya.</t>
  </si>
  <si>
    <t xml:space="preserve">[R] Regulasi : Alur pelaporan dan investigasi  apabila terjadi tumpahan, paparan dan insiden lainnya.</t>
  </si>
  <si>
    <t xml:space="preserve">2)	  Terdapat pedoman dan prosedur pengelolaan tumpahan dan paparan B3 serta dilaksanakan.</t>
  </si>
  <si>
    <t xml:space="preserve">[R 
D
W
O
S] Regulasi : Pedoman/prosedur  pengelolaan tumpahan dan paparan B3
Bukti implementasi pengelolaan tumpahan dan paparan B3
Petugas labkes
Ketersediaan spil kit
Peragaan penanganan tumpahan</t>
  </si>
  <si>
    <t xml:space="preserve">Standar MFK 6.2 Prosedur pengendalian dan pencegahan infeksi — Tersedia prosedur untuk mengurangi risiko infeksi dengan mengacu pada peraturan tentang Pencegahan dan Pengendalian Infeksi (PPI).</t>
  </si>
  <si>
    <t xml:space="preserve">Standar MFK 6.2 Prosedur pengendalian dan pencegahan infeksi</t>
  </si>
  <si>
    <t xml:space="preserve">1)	  Terdapat kebijakan, pedoman dan prosedur untuk mengurangi risiko infeksi yang meliputi huruf a) sampai huruf m)</t>
  </si>
  <si>
    <t xml:space="preserve">[R] Regulasi : kebijakan/ pedoman/ prosedur untuk mengurangi risiko infeksi yang meliputi huruf a) sampai huruf m) dalam maksud dan tujuan</t>
  </si>
  <si>
    <t xml:space="preserve">2)	  Implementasi Pencegahan dan Pengendalian Infeksi di laboratorium dilakukan sesuai prosedur</t>
  </si>
  <si>
    <t xml:space="preserve">[D] Bukti implementasi PPI di labkes sesuai prosedur</t>
  </si>
  <si>
    <t xml:space="preserve">3)	  Terdapat bukti penilaian kepatuhan terhadap prosedur biosafety seperti huruf a) sampai huruf m) .</t>
  </si>
  <si>
    <t xml:space="preserve">[D
W] Bukti penilaian kepatuhan laboratorium kesehatan terhadap prosedur biosafety seperti huruf a) sampai huruf m), misalnya : bukti audit
Pimpinan Labkes dan Tim Mutu/Tim K3</t>
  </si>
  <si>
    <t xml:space="preserve">4)	  Terdapat dokumentasi tindak lanjut PPP (Profilaksis Paska Pajanan) dan tindakan perbaikan</t>
  </si>
  <si>
    <t xml:space="preserve">[D
W] Bukti tindak lanjut PPP bila terjadi insiden.
Pimpinan labkes, Tim Mutu/Tim K3 dan petugas labkes</t>
  </si>
  <si>
    <t xml:space="preserve">Standar MFK 7 Program pengamanan dalam keadaan darurat — Laboratorium menetapkan program pengamanan dalam keadaan darurat yang memuat upaya pencegahan, deteksi dini, meminimalisir dampak yang timbul, menyedi</t>
  </si>
  <si>
    <t xml:space="preserve">Standar MFK 7 Program pengamanan dalam keadaan darurat</t>
  </si>
  <si>
    <t xml:space="preserve">1)	  Terdapat program pengamanan dalam keadaan darurat untuk menjamin keamanan dan keselamatan</t>
  </si>
  <si>
    <t xml:space="preserve">[R] Regulasi : Program pengamanan dalam keadaan darurat untuk menjamin keamanan dan keselamatan.</t>
  </si>
  <si>
    <t xml:space="preserve">2)	  Terdapat identifikasi risiko kebakaran di dalam program pengamanan dalam keadaan darurat.</t>
  </si>
  <si>
    <t xml:space="preserve">[R
D] Regulasi  Identifikasi risiko kebakaran di dalam program pengamanan dalam keadaan darurat 
Daftar identifikasi risiko kebakaran</t>
  </si>
  <si>
    <t xml:space="preserve">3)	  Terdapat bukti dilakukan deteksi dini pengamanan dalam keadaan darurat.</t>
  </si>
  <si>
    <t xml:space="preserve">[D
W] Bukti pelaksanaan deteksi dini pengamanan dalam keadaan darurat
Tim K3, Penanggung jawab tiap unit</t>
  </si>
  <si>
    <t xml:space="preserve">4) Terdapat alur pemadaman api dan pembuangan asap</t>
  </si>
  <si>
    <t xml:space="preserve">[R] Regulasi tentang alur pemadaman api dan pembuangan asap</t>
  </si>
  <si>
    <t xml:space="preserve">5) Terdapat jalur evakuasi dan titik kumpul bila terjadi keadaan darurat akibat kebakaran atau selain kebakaran</t>
  </si>
  <si>
    <t xml:space="preserve">[D
O
W
S] Denah jalur evakuasi dan titik kumpul bila terjadi keadaan darurat akibat kebakaran atau selain kebakaran
Jalur evakuasi dan titik kumpul
Petugas labkes dan Tim K3
Peragaan evakuasi bila terjadi keadaan darurat akibat kebakaran atau selain kebakaran</t>
  </si>
  <si>
    <t xml:space="preserve">Standar MFK 7.1 Sistem pemadam kebakaran — Laboratorium melakukan pemeriksaan sistem pemadam kebakaran secara berkala dan didokumentasikan</t>
  </si>
  <si>
    <t xml:space="preserve">Standar MFK 7.1 Sistem pemadam kebakaran</t>
  </si>
  <si>
    <t xml:space="preserve">1)	  Terdapat bukti pelatihan pemadam kebakaran untuk semua petugas dan dilakukan satu tahun sekali</t>
  </si>
  <si>
    <t xml:space="preserve">[D
S] Bukti pelatihan pemadaman kebakaran untuk semua petugas yang dilakukan satu tahun sekali
Peragaan penggunaan APAR</t>
  </si>
  <si>
    <t xml:space="preserve">2)	  Terdapat bukti evaluasi dan tindak lanjut hasil pelatihan.</t>
  </si>
  <si>
    <t xml:space="preserve">[D] Bukti evaluasi dan tindak lanjut hasil pelatihan</t>
  </si>
  <si>
    <t xml:space="preserve">3)	  Terdapat dokumentasi pemeliharaan terhadap sistem pemadam kebakaran secara berkala.</t>
  </si>
  <si>
    <t xml:space="preserve">[D
O
W] Bukti pemeriksaan, uji fungsi dan pemeliharaan terhadap peralatan penanganan kebakaran
Peralatan dan sistem pemadam kebakaran berfungsi dengan baik
Pimpinan labkes, Tim K3 dan petugas labkes</t>
  </si>
  <si>
    <t xml:space="preserve">RINGKASAN CAPAIAN BAB V</t>
  </si>
  <si>
    <t xml:space="preserve">TOTAL BAB V</t>
  </si>
  <si>
    <t xml:space="preserve">Bab VI. PENGENDALIAN MUTU (PM) — KONTEN RESMI LENGKAP</t>
  </si>
  <si>
    <t xml:space="preserve">Standar PM 1 Pemantapan mutu internal dan eksternal. — Laboratorium kesehatan melakukan pemantapan mutu internal dan eksternal.</t>
  </si>
  <si>
    <t xml:space="preserve">Standar PM 1 Pemantapan mutu internal dan eksternal.</t>
  </si>
  <si>
    <t xml:space="preserve">1)	  Pimpinan laboratorium menetapkan prosedur pemantapan mutu untuk semua jenis pemeriksaan</t>
  </si>
  <si>
    <t xml:space="preserve">[R] Regulasi: Prosedur pemantapan mutu internal dan eksternal untuk semua jenis pemeriksaan</t>
  </si>
  <si>
    <t xml:space="preserve">2) Terdapat penerapan paling sedikit mencakup angka 6) huruf a) sampai huruf e).</t>
  </si>
  <si>
    <t xml:space="preserve">[D] Bukti penerapan/ implementasi paling sedikit mencakup angka 6) huruf  a)  sampai  dengan huruf e)</t>
  </si>
  <si>
    <t xml:space="preserve">3) Terdapat evaluasi dan tindak lanjut dari hasil pemantapan mutu internal dan eksternal.</t>
  </si>
  <si>
    <t xml:space="preserve">[D] Bukti evaluasi dan tindak lanjut berdasarkan hasil pemantapan  mutu  internal dan eksternal</t>
  </si>
  <si>
    <t xml:space="preserve">Standar PM 1.1 Uji profisiensi — Laboratorium kesehatan mengikuti uji profisiensi</t>
  </si>
  <si>
    <t xml:space="preserve">Standar PM 1.1 Uji profisiensi</t>
  </si>
  <si>
    <t xml:space="preserve">1)	  Terdapat bukti hasil uji profisiensi dari laboratorium kesehatan untuk setiap pemeriksaan</t>
  </si>
  <si>
    <t xml:space="preserve">[D
W] Bukti hasil uji profisiensi dari laboratorium kesehatan untuk setiap pemeriksaan.
Petugas Labkes yang melakukan uji profisiensi</t>
  </si>
  <si>
    <t xml:space="preserve">2) Terdapat laporan hasil pemeriksaan uji profisiensi dari laboratorium kesehatan ke penyelenggara dalam kurun waktu yang telah ditentukan</t>
  </si>
  <si>
    <t xml:space="preserve">[D
W] Bukti laporan hasil pemeriksaan uji profisiensi dari laboratorium kesehatan ke penyelenggara dalam kurun waktu yang telah ditentukan.
Pimpinan Labkes, Tim Mutu.</t>
  </si>
  <si>
    <t xml:space="preserve">3)	 Terdapat bukti bahwa laboratorium kesehatan telah mengikuti ketentuan penyelenggara uji profisiensi</t>
  </si>
  <si>
    <t xml:space="preserve">[D
W] Bukti Laboratorium Kesehatan mengikuti ketentuan penyelenggara uji profisiensi.
Petugas Labkes yang melakukan uji Profisiensi.</t>
  </si>
  <si>
    <t xml:space="preserve">4)	 Terdapat bukti bahwa laboratorium kesehatan telah melakukan evaluasi dan tindak lanjuti terhadap nilai yang diperoleh dari penyelenggara meliputi angka 4 huruf d) dan angka 5)</t>
  </si>
  <si>
    <t xml:space="preserve">[D] Bukti evaluasi dan tindak lanjut yang diperoleh dari penyelenggara yang meliputi angka 4 huruf d) dan angka 5).</t>
  </si>
  <si>
    <t xml:space="preserve">Standar PM 1.1.1 Pengelolaan sampel uji profisiensi. — Sampel atau spesimen pada uji profisiensi diperiksa seperti pemeriksaan sampel atau spesimen rutin dengan reagen/ peralatan/ metode yang biasa digunak</t>
  </si>
  <si>
    <t xml:space="preserve">Standar PM 1.1.1 Pengelolaan sampel uji profisiensi.</t>
  </si>
  <si>
    <t xml:space="preserve">1). Terdapat bukti bahwa uji profisiensi telah dilaksanakan oleh petugas yang biasa melakukan pemeriksaan dengan reagen/ peralatan/ metode yang biasa digunakan</t>
  </si>
  <si>
    <t xml:space="preserve">[D] Bukti uji	 profisiensi dilakukan oleh petugas yang biasa melakukan pemeriksaan dengan reagen/ peralatan/   metode   yang biasa digunakan</t>
  </si>
  <si>
    <t xml:space="preserve">2). Terdapat bukti bahwa uji profisiensi telah dikerjakan seperti prosedur pemeriksaan rutin.</t>
  </si>
  <si>
    <t xml:space="preserve">[D
W] Bukti laporan pelaksanaan uji profisiensi yang dikerjakan seperti prosedur pemeriksaan rutin.
Petugas yang melaksanakan uji profisiensi, Penanggung Jawab Mutu</t>
  </si>
  <si>
    <t xml:space="preserve">Standar PM 1.1.2 Alternatif uji profisiensi. — Laboratorium yang tidak dapat mengikuti uji profisiensi karena penyelenggara uji profisiensi tidak ada,  maka harus melakukan upaya lain untuk menjami</t>
  </si>
  <si>
    <t xml:space="preserve">Standar PM 1.1.2 Alternatif uji profisiensi.</t>
  </si>
  <si>
    <t xml:space="preserve">1)	  Terdapat bukti upaya dari laboratorium kesehatan untuk melakukan kegiatan untuk menjamin mutu hasil pemeriksaan laboratorium kesehatan meliputi angka 1) mencakup huruf a) sampai dengan huruf d) (berjenjang sesuai urutan prioritas)</t>
  </si>
  <si>
    <t xml:space="preserve">[D
W] Bila tidak terdapat lembaga penyelenggara uji profisiensi maka laboratorium Kesehatan memiliki bukti melakukan penjaminan mutu hasil pemeriksaan meliputi angka 1) mencakup huruf a) sampai dengan huruf d) (berjenjang sesuai urutan prioritas).
Pimpinan Labkes, Petugas yang melakukan uji profisiensi</t>
  </si>
  <si>
    <t xml:space="preserve">2)	  Terdapat bukti bahwa laboratorium kesehatan melakukan evaluasi dan tindak lanjut terhadap hasil uji serta didokumentasikan paling singkat 3 (tiga) tahun.</t>
  </si>
  <si>
    <t xml:space="preserve">[D] Bukti evaluasi dan tindak lanjut terhadap hasil uji profisiensi serta didokumentasikan paling singkat 3 (tiga) tahun.</t>
  </si>
  <si>
    <t xml:space="preserve">Standar PM 1.2 Pengelolaan hasil pemeriksaan dengan lebih dari 1 (satu) alat — Laboratorium kesehatan menetapkan prosedur untuk evaluasi dan penetapan korelasi antara dua hasil pemeriksaan dengan sampel/spesimen yang sama tetapi </t>
  </si>
  <si>
    <t xml:space="preserve">Standar PM 1.2 Pengelolaan hasil pemeriksaan dengan lebih dari 1 (satu) alat</t>
  </si>
  <si>
    <t xml:space="preserve">1)	  Terdapat prosedur untuk menetapkan kesesuaian antara dua hasil pemeriksaan dengan sampel yang sama tetapi diperiksa dengan menggunakan metode atau alat yang berbeda mengacu pada batas keberterimaan sesuai peraturan perundang-undangan yang berlaku.</t>
  </si>
  <si>
    <t xml:space="preserve">[R] Regulasi: prosedur penetapan korelasi antara dua hasil pemeriksaan dengan sampel/spesimen yang sama, penetapan jumlah spesimen yang akan diperiksa/ dibandingkan dan menentukan rentang hasil yang dapat diterima, tetapi diperiksa dengan menggunakan metode atau alat yang berbeda, dan penetapan metode jika ditemukan perbedaan hasil yang sangat bermakna.</t>
  </si>
  <si>
    <t xml:space="preserve">2)	  Terdapat uji kesesuaian dilakukan paling sedikit  2 (dua) kali dalam 1 (satu) tahun.</t>
  </si>
  <si>
    <t xml:space="preserve">[D] Bukti uji kesesuaian yang dilakukan paling sedikit 2 (dua) kali dalam 1 (satu) tahun.</t>
  </si>
  <si>
    <t xml:space="preserve">3)	  Terdapat penetapan jumlah spesimen yang akan diperiksa/ dibandingkan dan menentukan rentang hasil yang dapat diterima.</t>
  </si>
  <si>
    <t xml:space="preserve">[D] Bukti implementasi penetapan jumlah spesimen yang akan diperiksa/ dibandingkan dan menentukan rentang hasil yang dapat diterima.</t>
  </si>
  <si>
    <t xml:space="preserve">4)	Jika ditemukan perbedaan hasil yang sangat bermakna, pimpinan laboratorium kesehatan harus menetapkan metode mana yang akan digunakan.</t>
  </si>
  <si>
    <t xml:space="preserve">[D
W] Bukti implementasi metode yang akan digunakan jika ditemukan perbedaan hasil yang sangat bermakna.
Pimpinan Labkes</t>
  </si>
  <si>
    <t xml:space="preserve">Standar PM 1.3 Validasi dan verifikasi alat, metode dan perangkat lunak — Laboratorium kesehatan melakukan validasi awal/ verifikasi terhadap alat baru, metode baru dan sistem analisa perangkat lunak/software) sebelum diguna</t>
  </si>
  <si>
    <t xml:space="preserve">Standar PM 1.3 Validasi dan verifikasi alat, metode dan perangkat lunak</t>
  </si>
  <si>
    <t xml:space="preserve">1)	Terdapat bukti laboratorium kesehatan menetapkan jumlah dan jenis bahan kontrol serta frekuensi quality control pada saat melakukan validasi.</t>
  </si>
  <si>
    <t xml:space="preserve">[R
D] Regulasi : penetapan jumlah dan jenis bahan kontrol serta frekuensi quality control pada saat melakukan validasi.
Bukti implementasi penetapan  jumlah dan jenis bahan kontrol serta frekuensi quality control pada saat melakukan validasi.</t>
  </si>
  <si>
    <t xml:space="preserve">2)	Terdapat bukti laboratorium kesehatan melakukan validasi terhadap semua metode baru yang digunakan dan terdokumentasi.</t>
  </si>
  <si>
    <t xml:space="preserve">[D] Bukti dilakukan validasi terhadap semua metode baru yang digunakan dan terdokumentasi.</t>
  </si>
  <si>
    <t xml:space="preserve">3) Terdapat bukti untuk setiap metode analitik, dilakukan paling sedikit uji akurasi, uji presisi dan penetapan rentang nilai hasil pemeriksaan.</t>
  </si>
  <si>
    <t xml:space="preserve">[D] Bukti dilakukan uji akurasi, uji presisi dan penetapan rentang nilai hasil pemeriksaan.</t>
  </si>
  <si>
    <t xml:space="preserve">Standar PM 1.4 Validasi sistem pemantauan internal atau elektronik — Laboratorium kesehatan melakukan validasi terhadap sistem pemantauan internal atau elektronik dalam pelaksanaan pemantapan mutu.</t>
  </si>
  <si>
    <t xml:space="preserve">Standar PM 1.4 Validasi sistem pemantauan internal atau elektronik</t>
  </si>
  <si>
    <t xml:space="preserve">1)	  Terdapat bukti Laboratorium melakukan validasi terhadap sistem pemantauan mutu internal atau elektronik yang digunakan dalam pelaksanaan pemantapan mutu.</t>
  </si>
  <si>
    <t xml:space="preserve">[D] Bukti validasi terhadap sistem pemantauan mutu internal atau elektronik yang digunakan.</t>
  </si>
  <si>
    <t xml:space="preserve">2)	  Terdapat Bukti adanya Sistem pemantauan mutu yang digunakan untuk memenuhi angka 1) dan angka 2)</t>
  </si>
  <si>
    <t xml:space="preserve">[D] Bukti pelaksanaan sistem pemantauan mutu yang digunakan untuk memenuhi angka 1) dan angka 2) pada maksud dan tujuan.</t>
  </si>
  <si>
    <t xml:space="preserve">3) Terdapat Bukti Proses validasi mencakup angka 3) sampai dengan angka 5)</t>
  </si>
  <si>
    <t xml:space="preserve">[D] Bukti proses validasi yang mencakup angka 3) sampai dengan angka 5) pada maksud dan tujuan.</t>
  </si>
  <si>
    <t xml:space="preserve">4)	  Terdapat Bukti bahwa frekuensi pelaksanaan pemantapan mutu internal dan eksternal memperhatikan angka 6) sampai dengan angka 8).</t>
  </si>
  <si>
    <t xml:space="preserve">[D] Bukti frekuensi pelaksanaan pemantapan mutu internal dan eksternal memperhatikan angka 6) sampai dengan angka 8) pada maksud dan tujuan.</t>
  </si>
  <si>
    <t xml:space="preserve">5)	  Terdapat Bukti Jika nilai kontrol tidak dapat diterima laboratorium kesehatan mengidentifikasi penyebabnya dan mengulang kembali proses validasi</t>
  </si>
  <si>
    <t xml:space="preserve">[D] Bukti dilakukan identifikasi penyebab dan pengulangan proses validasi Jika nilai kontrol tidak dapat diterima.</t>
  </si>
  <si>
    <t xml:space="preserve">Standar PM 1.5 Kalibrasi alat dan uji fungsi alat — Laboratorium kesehatan melakukan kalibrasi alat dan uji fungsi alat.</t>
  </si>
  <si>
    <t xml:space="preserve">Standar PM 1.5 Kalibrasi alat dan uji fungsi alat</t>
  </si>
  <si>
    <t xml:space="preserve">1)	  Terdapat Bukti bahwa laboratorium kesehatan melakukan kalibrasi alat dan uji fungsi alat sesuai prosedur yang telah ditetapkan.</t>
  </si>
  <si>
    <t xml:space="preserve">[D] Bukti kalibrasi alat dan uji fungsi alat sesuai prosedur yang telah ditetapkan</t>
  </si>
  <si>
    <t xml:space="preserve">2)	  Terdapat Bukti prosedur kalibrasi harus mengikuti kriteria dari pabrik alat</t>
  </si>
  <si>
    <t xml:space="preserve">[R
D] Regulasi : prosedur kalibrasi alat
Bukti implementasi prosedur kalibrasi</t>
  </si>
  <si>
    <t xml:space="preserve">3)	  Terdapat Bukti laboratorium mendokumentasikan pelaksanaan kalibrasi.</t>
  </si>
  <si>
    <t xml:space="preserve">[D] Bukti pelaksanaan kalibrasi</t>
  </si>
  <si>
    <t xml:space="preserve">Standar PM 1.6 Pemantapan Mutu Internal (PMI) — Proses kendali mutu meliputi evaluasi hasil pemeriksaan laboratorium kesehatan, hasil pemantapan mutu internal dan hasil uji kinerja harian alat.</t>
  </si>
  <si>
    <t xml:space="preserve">Standar PM 1.6 Pemantapan Mutu Internal (PMI)</t>
  </si>
  <si>
    <t xml:space="preserve">1)	  Terdapat bukti bahwa hasil pemeriksaan dievaluasi setiap hari.</t>
  </si>
  <si>
    <t xml:space="preserve">[D] Bukti evaluasi hasil pemeriksaan yang dilakukan setiap hari.</t>
  </si>
  <si>
    <t xml:space="preserve">2)	  Terdapat bukti laporan hasil pemeriksaan secara manual maupun elektronik, dievaluasi untuk mengurangi terjadinya kesalahan.</t>
  </si>
  <si>
    <t xml:space="preserve">[D] Bukti laporan hasil pemeriksaan secara manual maupun elektronik, dan hasil evaluasi untuk mengurangi terjadinya kesalahan.</t>
  </si>
  <si>
    <t xml:space="preserve">3)	  Terdapat bukti laboratorium kesehatan melakukan reviu untuk melihat kesesuaian hasil pemeriksaan, hasil pemantapan mutu dan hasil uji fungsi alat.</t>
  </si>
  <si>
    <t xml:space="preserve">[D] Bukti  hasil reviu kesesuaian hasil pemeriksaan, hasil pemantapan mutu dan hasil uji fungsi alat.</t>
  </si>
  <si>
    <t xml:space="preserve">4)	  Terdapat bukti evaluasi pelaksanaan pemantapan mutu dilakukan paling sedikit 1 (satu) paling sedikit 1 (satu) kali dalam 1 (satu) bulan</t>
  </si>
  <si>
    <t xml:space="preserve">[D] Bukti hasil evaluasi pelaksanaan pemantapan mutu dilakukan paling sedikit 1 (satu) kali dalam 1 (satu) bulan</t>
  </si>
  <si>
    <t xml:space="preserve">Standar PM 1.7 Tindakan perbaikan jika ditemukan ketidaksesuaian hasil PMI — Laboratorium kesehatan melakukan tindakan perbaikan jika ditemukan ketidaksesuaian, dan didokumentasikan</t>
  </si>
  <si>
    <t xml:space="preserve">Standar PM 1.7 Tindakan perbaikan jika ditemukan ketidaksesuaian hasil PMI</t>
  </si>
  <si>
    <t xml:space="preserve">1)	Terdapat Bukti Laboratorium kesehatan menetapkan prosedur tindakan perbaikan jika hasil pemantapan mutu internal tidak dapat diterima atau berada diluar rentang nilai yang diperbolehkan</t>
  </si>
  <si>
    <t xml:space="preserve">[R
D] Regulasi: prosedur tindakan perbaikan jika hasil pemantapan mutu internal tidak dapat diterima atau berada diluar rentang nilai yang diperbolehkan.
Bukti tindakan perbaikan jika hasil pemantapan mutu internal tidak dapat diterima atau berada diluar rentang nilai yang diperbolehkan</t>
  </si>
  <si>
    <t xml:space="preserve">2)	  Terdapat bukti Laboratorium kesehatan  menentukan alat atau alat cadangan atau memilih fasilitas yang dapat digunakan jika tindakan perbaikan tidak dapat dilakukan tepat waktu.</t>
  </si>
  <si>
    <t xml:space="preserve">[D] Bukti penentuan alat atau alat cadangan atau memilih fasilitas yang dapat digunakan jika tindakan perbaikan tidak dapat dilakukan tepat waktu.</t>
  </si>
  <si>
    <t xml:space="preserve">3)	  Terdapat bukti Laboratorium kesehatan melakukan tindakan perbaikan, jika ditemukan kondisi seperti pada angka 1) huruf a) sampai dengan huruf d).</t>
  </si>
  <si>
    <t xml:space="preserve">[D] Bukti tindakan perbaikan, jika ditemukan kondisi seperti pada angka 1) huruf a) sampai dengan huruf d) sesuai maksud dan tujuan.</t>
  </si>
  <si>
    <t xml:space="preserve">4)	  Terdapat bukti Laboratorium kesehatan melakukan evaluasi terhadap data hasil pemantapan mutu dan keluhan pelanggan, sehingga laboratorium kesehatan dapat melakukan tindakan pencegahan untuk meminimalkan dampak yang lebih buruk.</t>
  </si>
  <si>
    <t xml:space="preserve">[D] Bukti evaluasi terhadap data hasil pemantapan mutu dan keluhan pelanggan.</t>
  </si>
  <si>
    <t xml:space="preserve">Standar PM 2 Pengendalian mutu untuk pemeriksaan histopatologi — Tersedia kebijakan dan prosedur pengendalian mutu untuk pemeriksaan histopatologi</t>
  </si>
  <si>
    <t xml:space="preserve">Standar PM 2 Pengendalian mutu untuk pemeriksaan histopatologi</t>
  </si>
  <si>
    <t xml:space="preserve">1)	Terdapat kebijakan dan prosedur untuk memastikan mutu pemeriksaan histopatologi</t>
  </si>
  <si>
    <t xml:space="preserve">[R] Regulasi: kebijakan dan prosedur pengendalian mutu untuk histopatologi.</t>
  </si>
  <si>
    <t xml:space="preserve">2)  Terdapat dokumen/ kompetensi dari petugas yang melakukan kegiatan pada setiap tahapan pemeriksaan makroskopik dan mikroskopik.</t>
  </si>
  <si>
    <t xml:space="preserve">[D] Bukti file kepegawain yang berisi kompetensi dari petugas yang melakukan pemeriksaan makroskopik dan mikroskopik</t>
  </si>
  <si>
    <t xml:space="preserve">3)  Terdapat prosedur pengendalian mutu yang mencakup angka 1) dan angka 2).</t>
  </si>
  <si>
    <t xml:space="preserve">[R] Regulasi: prosedur pengendalian mutu yang mencakup  angka  1)  dan
angka 2) pada maksud dan tujuan.</t>
  </si>
  <si>
    <t xml:space="preserve">Standar PM 2.1 Pengelolaan Spesimen dan Hasil Pemeriksaan — Laboratorium kesehatan menerapkan prosedur untuk memastikan identifikasi, fiksasi, dokumentasi penerimaan spesimen, pengolahan spesimen, dan dokumenta</t>
  </si>
  <si>
    <t xml:space="preserve">Standar PM 2.1 Pengelolaan Spesimen dan Hasil Pemeriksaan</t>
  </si>
  <si>
    <t xml:space="preserve">1)	Terdapat prosedur untuk melakukan identifikasi, memberi label, memastikan fiksasi, melakukan dokumentasi penerimaan spesimen, dan pengolahan spesimen sesuai prosedur mencakup angka 1) sampai dengan angka 5).</t>
  </si>
  <si>
    <t xml:space="preserve">[R
D] Regulasi: prosedur identifikasi, memberi label, memastikan fiksasi, melakukan dokumentasi penerimaan spesimen, dan pengolahan spesimen sesuai prosedur mencakup kegiatan pada angka 1) sampai dengan 5) pada maksud dan tujuan.
Bukti implementasi.</t>
  </si>
  <si>
    <t xml:space="preserve">2)	Ada bukti penilaian kepatuhan terhadap prosedur mencakup angka 1) sampai dengan angka 5).</t>
  </si>
  <si>
    <t xml:space="preserve">[D] Bukti kepatuhan terhadap prosedur mencakup angka 1) sampai dengan angka 5) pada maksud dan tujuan.</t>
  </si>
  <si>
    <t xml:space="preserve">3)	Ada bukti monitoring terhadap kepatuhan prosedur mencakup angka 1) sampai dengan 4).</t>
  </si>
  <si>
    <t xml:space="preserve">[D] Bukti kegiatan monitoring/pemantauan kepatuhan prosedurmencakup angka 1) sampai dengan 4) pada maksud dan tujuan.</t>
  </si>
  <si>
    <t xml:space="preserve">Standar PM 2.1.1 Prosedur pemeriksaan imunohistokimia — Laboratorium kesehatan menerapkan prosedur untuk pemeriksaan imunohistokimia yang akurat.</t>
  </si>
  <si>
    <t xml:space="preserve">Standar PM 2.1.1 Prosedur pemeriksaan imunohistokimia</t>
  </si>
  <si>
    <t xml:space="preserve">1)  Terdapat prosedur pemeriksaan immunohistokimia yang menerapkan pengendalian mutu yang mencakup angka 1) sampai dengan angka 5).</t>
  </si>
  <si>
    <t xml:space="preserve">[R] Regulasi: prosedur pemeriksaan immunohistokimia yang menerapkan pengendalian mutu yang mencakup angka 1) sampai dengan angka 5) pada maksud dan tujuan.</t>
  </si>
  <si>
    <t xml:space="preserve">2)	  Terdapat bukti pelaksanaan imunohistokimia sesuai prosedur</t>
  </si>
  <si>
    <t xml:space="preserve">[D] Bukti pelaksanaan imunohistokimia sesuai prosedur</t>
  </si>
  <si>
    <t xml:space="preserve">3)	  Terdapat bukti kepatuhan terhadap prosedur dipantau.</t>
  </si>
  <si>
    <t xml:space="preserve">[D] Bukti kepatuhan terhadap prosedur dipantau.</t>
  </si>
  <si>
    <t xml:space="preserve">Standar PM 2.2 Kualifikasi petugas yang melakukan tindakan pemotongan jaringan. — Laboratorium kesehatan melakukan evaluasi kualifikasi petugas yang melakukan tindakan pemotongan jaringan.</t>
  </si>
  <si>
    <t xml:space="preserve">Standar PM 2.2 Kualifikasi petugas yang melakukan tindakan pemotongan jaringan.</t>
  </si>
  <si>
    <t xml:space="preserve">1)  Terdapat bukti bahwa semua tindakan pemotongan jaringan dilakukan oleh dokter Sp.PA atau dibawah supervisi dokter Sp.PA</t>
  </si>
  <si>
    <t xml:space="preserve">[R] Regulasi: kebijakan bahwa semua tindakan pemotongan jaringan dilakukan oleh dokter Sp.PA atau di bawah supervisi dokter Sp.PA</t>
  </si>
  <si>
    <t xml:space="preserve">2)  Terdapat bukti bahwa petugas selain dokter Sp.PA yang melakukan tindakan pemotongan jaringan telah memenuhi kriteria angka 1) sampai dengan angka 3)</t>
  </si>
  <si>
    <t xml:space="preserve">[D] Bukti petugas selain dokter Sp.PA yang melakukan tindakan pemotongan jaringan telah memenuhi kriteria  angka 1) sampai  angka 3) pada maksud dan tujuan.</t>
  </si>
  <si>
    <t xml:space="preserve">3)  Terdapat bukti evaluasi dan tindak lanjut hasil pemotongan jaringan oleh petugas yang bukan dokter Sp.PA, oleh dokter Sp.PA.</t>
  </si>
  <si>
    <t xml:space="preserve">[D] Bukti evaluasi dan tindak lanjut hasil pemotongan jaringan oleh petugas yang bukan dokter Sp.PA, oleh dokter Sp.PA</t>
  </si>
  <si>
    <t xml:space="preserve">Standar PM. 2.3 Kompetensi pelaksana pemeriksaan makroskopik dan mikroskopik — Laboratorium kesehatan menyediakan prosedur untuk mendokumentasikan kompetensi dokter yang melakukan pemeriksaan makroskopik dan mikroskopik.</t>
  </si>
  <si>
    <t xml:space="preserve">Standar PM. 2.3 Kompetensi pelaksana pemeriksaan makroskopik dan mikroskopik</t>
  </si>
  <si>
    <t xml:space="preserve">1)	Terdapat kebijakan bahwa semua pemeriksaan mikroskopik dan diagnosis dilakukan oleh Sp.PA.	.</t>
  </si>
  <si>
    <t xml:space="preserve">[R] Regulasi: Kebijakan semua pemeriksaan mikroskopik dan diagnosis dilakukan Sp.PA</t>
  </si>
  <si>
    <t xml:space="preserve">Standar PM 3 Penjaminan kualitas pelayanan sitopatologi oleh Dokter Spesialis Patologi Anatomik (Sp.PA). — Laboratorium kesehatan menyediakan Dokter Spesialis Patologi Anatomik (Sp.PA) untuk menjamin kualitas pelayanan sitopatologi</t>
  </si>
  <si>
    <t xml:space="preserve">Standar PM 3 Penjaminan kualitas pelayanan sitopatologi oleh Dokter Spesialis Patologi Anatomik (Sp.PA).</t>
  </si>
  <si>
    <t xml:space="preserve">1)	  Pelayanan sitopatologi dipimpin oleh SpPA.</t>
  </si>
  <si>
    <t xml:space="preserve">[R] Regulasi: SK Pimpinan pelayanan  sitopatologi dipimpin oleh SpPA</t>
  </si>
  <si>
    <t xml:space="preserve">2) Terdapat prosedur pengambilan spesimen, identifikasi, fiksasi dan transportasi telah ditetapkan dan disosialisasikan kepada dokter pengirim spesimen terkait.</t>
  </si>
  <si>
    <t xml:space="preserve">[R
D] Regulasi: prosedur pengambilan spesimen, identifikasi, fiksasi dan transportasi.
Bukti sosialisasi kepada dokter pengirim spesimen terkait.</t>
  </si>
  <si>
    <t xml:space="preserve">3)	  Terdapat kriteria penolakan spesimen.</t>
  </si>
  <si>
    <t xml:space="preserve">[R] Regulasi: kriteria penolakan spesimen.</t>
  </si>
  <si>
    <t xml:space="preserve">4)  Terdapat kriteria spesimen yang tidak memadai (unsatisfactory)</t>
  </si>
  <si>
    <t xml:space="preserve">[R] Regulasi : kriteria spesimen yang tidak memadai (unsatisfactory)</t>
  </si>
  <si>
    <t xml:space="preserve">5). Terdapat dokumen tentang pemilihan jenis zat warna dan teknik pulasan</t>
  </si>
  <si>
    <t xml:space="preserve">[D] Bukti pemilihan jenis zat warna dan teknik pulasan</t>
  </si>
  <si>
    <t xml:space="preserve">6). Terdapat tata cara untuk menghindarkan kontaminasi silang.</t>
  </si>
  <si>
    <t xml:space="preserve">[R] Regulasi: tata cara untuk menghindarkan kontaminasi silang.</t>
  </si>
  <si>
    <t xml:space="preserve">Standar PM 3.1  Pemantapan Mutu Pelayanan Sitopatologi. — Pelayanan sitopatologi di laboratorium kesehatan memiliki prosedur untuk mengukur, menilai dan meningkatkan mutu.</t>
  </si>
  <si>
    <t xml:space="preserve">Standar PM 3.1  Pemantapan Mutu Pelayanan Sitopatologi.</t>
  </si>
  <si>
    <t xml:space="preserve">1)	Terdapat bukti supervisi terhadap hasil pemeriksaan yang dilakukan oleh sitoskriner yang mencakup angka 1) sampai dengan angka 5).</t>
  </si>
  <si>
    <t xml:space="preserve">[D] Bukti supervisi terhadap hasil pemeriksaan yang dilakukan oleh sitoskriner yang mencakup angka 1) sampai dengan angka  5) pada maksud dan tujuan.</t>
  </si>
  <si>
    <t xml:space="preserve">2)	  Terdapat bukti evaluasi jika terjadi kesalahan sitoskriner</t>
  </si>
  <si>
    <t xml:space="preserve">[D] Bukti evaluasi jika terjadi kesalahan sitoskriner</t>
  </si>
  <si>
    <t xml:space="preserve">3)	  Terdapat prosedur alur pelaporan hasil.</t>
  </si>
  <si>
    <t xml:space="preserve">[R] Regulasi: prosedur alur pelaporan hasil</t>
  </si>
  <si>
    <t xml:space="preserve">Standar PM 4 Pemantapan mutu internal untuk pemeriksaan kimia klinis, hematologi, hemotasis, dan Point-Of-Care Test (POCT). — Pimpinan laboratorium menetapkan kebijakan dan prosedur pemantapan mutu internal untuk semua pemeriksaan kimia klinis, hematologi, hemotasis, dan Poin</t>
  </si>
  <si>
    <t xml:space="preserve">Standar PM 4 Pemantapan mutu internal untuk pemeriksaan kimia klinis, hematologi, hemotasis, dan Point-Of-Care Test (POCT).</t>
  </si>
  <si>
    <t xml:space="preserve">1)	  Terdapat prosedur pemantapan mutu internal untuk semua pemeriksaan kimia Laboratorium Kesehatan, hematologi, hemotasisis dan pemeriksaan POCT.</t>
  </si>
  <si>
    <t xml:space="preserve">[R] Regulasi: prosedur pemantapan mutu internal untuk semua pemeriksaan kimia laboratorium kesehatan, hematologi, dan hemotasisis, dan pemeriksaan POCT mencakup jumlah dan level kontrol yang digunakan, jumlah pembacaan yang harus dilakukan, penetapan nilai Standar Deviasi dan langkah-langkah yang akan dilakukan bila nilai kontrol tidak dapat diterima.</t>
  </si>
  <si>
    <t xml:space="preserve">2)	  Prosedur pemantapan mutu internal mencakup jumlah dan level kontrol yang digunakan.</t>
  </si>
  <si>
    <t xml:space="preserve">[R] </t>
  </si>
  <si>
    <t xml:space="preserve">3)	  Prosedur pemantapan mutu internal mencakup jumlah pembacaan yang harus dilakukan.</t>
  </si>
  <si>
    <t xml:space="preserve">4) Prosedur mencakup penetapan nilai Standar Deviasi .</t>
  </si>
  <si>
    <t xml:space="preserve">5)	  Prosedur memuat langkah-langkah yang akan dilakukan bila nilai kontrol tidak dapat diterima.</t>
  </si>
  <si>
    <t xml:space="preserve">Standar PM 4.1 Pemantapan Mutu Internal (PMI) untuk pemeriksaan secara kuantitatif — Laboratorium kesehatan menetapkan dan mengikuti prosedur pemantapan mutu internal untuk pemeriksaan secara kuantitatif.</t>
  </si>
  <si>
    <t xml:space="preserve">Standar PM 4.1 Pemantapan Mutu Internal (PMI) untuk pemeriksaan secara kuantitatif</t>
  </si>
  <si>
    <t xml:space="preserve">1)	  Tersedia prosedur pemantapan mutu internal untuk pemeriksaan secara kuantitatif sesuai dengan aturan yang berlaku</t>
  </si>
  <si>
    <t xml:space="preserve">[R] Regulasi: prosedur pemantapan mutu internal untuk pemeriksaan secara kuantitatif sesuai dengan aturan yang berlaku</t>
  </si>
  <si>
    <t xml:space="preserve">2) Terdapat bukti bahwa Prosedur mencakup angka 1) sampai dengan angka 3).</t>
  </si>
  <si>
    <t xml:space="preserve">[R] Regulasi: prosedur mencakup angka 1) sampai dengan angka 3) pada maksud dan tujuan.</t>
  </si>
  <si>
    <t xml:space="preserve">3) Terdapat bukti bahwa rentang kontrol dan limit memenuhi kriteria huruf a) sampai dengan huruf c).</t>
  </si>
  <si>
    <t xml:space="preserve">[D] Bukti rentang kontrol dan limit memenuhi kriteria huruf  a)  sampai  dengan huruf c) pada maksud dan tujuan.</t>
  </si>
  <si>
    <t xml:space="preserve">4)	  Laboratorium hanya memiliki satu kriteria untuk setiap pemeriksaan pada satu waktu</t>
  </si>
  <si>
    <t xml:space="preserve">[D] Bukti Laboratorium Kesehatan hanya memiliki satu kriteria untuk  setiap  pemeriksaan pada satu waktu</t>
  </si>
  <si>
    <t xml:space="preserve">5)	Jika pemeriksaan dilakukan secara manual, maka laboratorium kesehatan harus memenuhi kriteria huruf e) sampai dengan huruf i).</t>
  </si>
  <si>
    <t xml:space="preserve">[D] Bukti hasil pemeriksaan yang dilakukan secara manual memenuhi kriteria huruf e) sampai dengan huruf i) pada maksud dan tujuan.</t>
  </si>
  <si>
    <t xml:space="preserve">Standar PM 4.2 Pemantapan Mutu Internal (PMI) untuk pemeriksaan apus darah tepi dan hitung jenis — Laboratorium kesehatan menetapkan prosedur pemantapan mutu internal untuk pemeriksaan apus darah tepi dan hitung jenis.</t>
  </si>
  <si>
    <t xml:space="preserve">Standar PM 4.2 Pemantapan Mutu Internal (PMI) untuk pemeriksaan apus darah tepi dan hitung jenis</t>
  </si>
  <si>
    <t xml:space="preserve">1)	  Tersedia prosedur hitung jenis.</t>
  </si>
  <si>
    <t xml:space="preserve">[R] Regulasi : Prosedur hitung jenis</t>
  </si>
  <si>
    <t xml:space="preserve">2)	  Terdapat kriteria sediaan yang harus direviu oleh petugas yang berkompeten dan didokumentasikan</t>
  </si>
  <si>
    <t xml:space="preserve">[R
D] Regulasi: kriteria sediaan 
Bukti reviu kriteria sediaan oleh petugas yang kompeten.</t>
  </si>
  <si>
    <t xml:space="preserve">3) Terdapat bukti dilakukan validasi sebelum melakukan pemeriksaan pada hitung jenis secara otomatis dan didokumentasikan.</t>
  </si>
  <si>
    <t xml:space="preserve">[D] Bukti validasi sebelum melakukan pemeriksaan pada hitung jenis secara otomatis dan didokumentasikan.</t>
  </si>
  <si>
    <t xml:space="preserve">4)	  Prosedur mencakup penetapan rentang nilai keberterimaan nilai kontrol (nilai rujukan) antara peralatan yang otomatis dengan peralatan secara manual.</t>
  </si>
  <si>
    <t xml:space="preserve">[R] Regulasi : penetapan rentang nilai keberteriamaan nilai kontrol (nilai rujukan) antara peralatan yang otomatis dengan peralatan secara manual.</t>
  </si>
  <si>
    <t xml:space="preserve">5)	  Laboratorium kesehatan melakukan evaluasi terhadap data hasil hitung jenis dan didokumentasikan.</t>
  </si>
  <si>
    <t xml:space="preserve">[D] Bukti evaluasi terhadap data hasil hitung jenis.</t>
  </si>
  <si>
    <t xml:space="preserve">6)	  Sediaan  hitung jenis dan data hasil pemeriksaan hitung jenis di simpan dalam rentang waktu yang ditentukan sesuai aturan yang berlaku.</t>
  </si>
  <si>
    <t xml:space="preserve">[D] Bukti penyimpanan sediaan hitung jenis dan data hasil pemeriksaan hitung jenis.</t>
  </si>
  <si>
    <t xml:space="preserve">Standar PM 5 Pemantapan Mutu Internal (PMI) untuk pemeriksaan bakteriologi, mikobakteriologi dan mikologi — Laboratorium kesehatan menetapkan prosedur pemantapan mutu internal untuk pemeriksaan bakteriologi, mikobakteriologi dan mikologi.</t>
  </si>
  <si>
    <t xml:space="preserve">Standar PM 5 Pemantapan Mutu Internal (PMI) untuk pemeriksaan bakteriologi, mikobakteriologi dan mikologi</t>
  </si>
  <si>
    <t xml:space="preserve">1)	  Tersedia prosedur pemantapan mutu internal bahan kimia dan biologis, reagen, dan antiserum yang digunakan.</t>
  </si>
  <si>
    <t xml:space="preserve">[R] Regulasi: prosedur pemantapan mutu internal bahan kimia dan biologis, reagen, dan antiserum yang digunakan.</t>
  </si>
  <si>
    <t xml:space="preserve">2)	  Laboratorium kesehatan melaksanakan pemantapan mutu internal sebagaimana tertuang dalam angka 1) sampai dengan angka 5).</t>
  </si>
  <si>
    <t xml:space="preserve">[D] Bukti pelaksanaan pemantapan mutu internal sebagaimana tertuang dalam angka 1) sampai dengan angka 5) pada maksud dan tujuan.</t>
  </si>
  <si>
    <t xml:space="preserve">3)	  Hasil pelaksanaan pemantapan mutu internal didokumentasikan.</t>
  </si>
  <si>
    <t xml:space="preserve">[D] Bukti pelaksanaan Pemantapan Mutu Internal</t>
  </si>
  <si>
    <t xml:space="preserve">Standar PM 5.1 Verifikasi uji sensitivitas antimikroba, antimikobakterium dan anti jamur — Pelaksanaan uji sensitivitas antimikroba, antimikobakterium dan anti jamur diverifikasi dengan organisme referensi (kuman kontrol) yang sudah ditetapk</t>
  </si>
  <si>
    <t xml:space="preserve">Standar PM 5.1 Verifikasi uji sensitivitas antimikroba, antimikobakterium dan anti jamur</t>
  </si>
  <si>
    <t xml:space="preserve">1)	Laboratorium kesehatan yang melaksanakan uji sensitivitas antimikroba, antimikobakterium, dan anti jamur, melakukan pemantapan mutu internal untuk setiap lot atau pengiriman.</t>
  </si>
  <si>
    <t xml:space="preserve">[R
D] Regulasi: tentang pelaksanaan PMI yang meliputi  uji sensitivitas antimikroba, antimikobakterium, dan anti jamur untuk setiap lot atau pengiriman, termasuk penggunaan organisme referensi yang telah disetujui sebagai bahan (mikroba) kontrol dan validasi.
Bukti pelaksanaan uji sensitivitas antimikroba, antimikobakterium, dan anti jamur, melakukan Pemantapan Mutu Internal untuk   setiap   lot   atau pengiriman.</t>
  </si>
  <si>
    <t xml:space="preserve">2)	  Organisme referensi yang telah disetujui untuk digunakan sebagai bahan (mikroba) kontrol diuji ulang setiap hari dalam penentuan hasil uji sensitivitas antimikroba, antimikobakterium, dan anti jamur.</t>
  </si>
  <si>
    <t xml:space="preserve">[D] Bukti  sertifikasi organisme referensi atau hasil validasi organisme.</t>
  </si>
  <si>
    <t xml:space="preserve">3)	 Jika hasil validasi sesuai, laboratorium kesehatan cukup melaksanakan pemantapan mutu internal seminggu sekali, kecuali ditemukan masalah pada saat pemantapan mutu internal tersebut.</t>
  </si>
  <si>
    <t xml:space="preserve">[D] Bukti pelaksanaan Pemantapan Mutu Internal pada uji sensitivitas antimikroba, antimikobakterium dan anti jamur seminggu sekali jika hasil validasi sesuai,</t>
  </si>
  <si>
    <t xml:space="preserve">4)	  Pemantapan mutu internal untuk uji sensitivitas antimikobakterium dilakukan dan didokumentasikan setiap batch pemeriksaan.</t>
  </si>
  <si>
    <t xml:space="preserve">[D
W] Bukti  pelaksanaan Pemantapan Mutu Internal uji sensitivitas antimikobakterium dan dokumentasinya pada setiap batch pemeriksaan
Petugas pelaksana PMI</t>
  </si>
  <si>
    <t xml:space="preserve">5)	  Pemantapan mutu internal uji sensitivitas dilaksanakan dan didokumentasikan serta dievaluasi</t>
  </si>
  <si>
    <t xml:space="preserve">[D
W] Bukti hasil pelaksanaan Pemantapan Mutu Internal dan evaluasi
Penanggung jawab PMI</t>
  </si>
  <si>
    <t xml:space="preserve">Standar PM. 5.2 Pemantapan Mutu Internal (PMI) untuk pewarnaan — Dilakukan Pemantapan Mutu Internal  terhadap pewarnaan sesuai prosedur.</t>
  </si>
  <si>
    <t xml:space="preserve">Standar PM. 5.2 Pemantapan Mutu Internal (PMI) untuk pewarnaan</t>
  </si>
  <si>
    <t xml:space="preserve">1)	  Dilakukan pemantapan mutu internal terhadap semua zat pewarna.</t>
  </si>
  <si>
    <t xml:space="preserve">[R
D] Regulasi pelaksanaan pemantapan mutu internal terhadap semua zat pewarna
Bukti pelaksanaan pemantapan mutu internal terhadap semua zat pewarna</t>
  </si>
  <si>
    <t xml:space="preserve">2)	  Hasil pemantapan mutu internal pewarnaan didokumentasikan dan di evaluasi</t>
  </si>
  <si>
    <t xml:space="preserve">[D] Bukti evaluasi pelaksanaan pemantapan mutu internal pewarnaan</t>
  </si>
  <si>
    <t xml:space="preserve">Standar PM 6 Bahan, peralatan dan metode yang digunakan pada pemeriksaan parasitologi — Laboratorium kesehatan dalam melakukan pemeriksaan parasitologi, bahan, peralatan dan metode yang digunakan harus sesuai dengan standar.</t>
  </si>
  <si>
    <t xml:space="preserve">Standar PM 6 Bahan, peralatan dan metode yang digunakan pada pemeriksaan parasitologi</t>
  </si>
  <si>
    <t xml:space="preserve">1)	  Tersedia bahan referensi sesuai jenis pemeriksaan parasitologi yang dilakukan.</t>
  </si>
  <si>
    <t xml:space="preserve">[R
D] Regulasi: pedoman pemeriksaan parasitologi 
Bahan referensi sesuai jenis pemeriksaan parasitologi yang dilakukan dilengkapi misalnya dengan foto- foto/atlas, koleksi slide positif dengan pewarnaan, spesimen positif parasit yang diawetkan, dan slide untuk uji profisiensi</t>
  </si>
  <si>
    <t xml:space="preserve">2)	Tersedia mikroskop yang dilengkapi mikrometer yang terkalibrasi.</t>
  </si>
  <si>
    <t xml:space="preserve">[O] Mikroskop dengan mikrometer yang terkalibrasi</t>
  </si>
  <si>
    <t xml:space="preserve">3)	  Tersedia  bukti dokumen kalibrasi.</t>
  </si>
  <si>
    <t xml:space="preserve">[D] Bukti mikroskop terkalibrasi</t>
  </si>
  <si>
    <t xml:space="preserve">4)	Pelaksanaan evaluasi zat warna permanen paling singkat setiap bulan.</t>
  </si>
  <si>
    <t xml:space="preserve">[D] Bukti Pelaksanaan evaluasi zat warna permanen paling singkat setiap bulan</t>
  </si>
  <si>
    <t xml:space="preserve">5)	  Jika menggunakan pewarna spesifik, mengikutsertakan bahan kontrol positif setiap kali digunakan.</t>
  </si>
  <si>
    <t xml:space="preserve">[D] Bukti mengikutsertakan bahan kontrol positif jika sesuai.</t>
  </si>
  <si>
    <t xml:space="preserve">6)	  Pembuatan sediaan apus darah tebal dan tipis pada setiap pemeriksaan malaria.</t>
  </si>
  <si>
    <t xml:space="preserve">[O
S] Sediaan apus darah tebal dan tipis pada setiap pemeriksaan malaria
Pembuatan sediaan apus darah tebal dan tipis</t>
  </si>
  <si>
    <t xml:space="preserve">Standar PM 7 Pemantapan Mutu Internal (PMI) untuk pemeriksaan identifikasi virus — Laboratorium kesehatan yang melakukan pemeriksaan untuk mengidentifikasi virus, dilakukan pemantapan mutu internal untuk mengantisipasi terjadinya kes</t>
  </si>
  <si>
    <t xml:space="preserve">Standar PM 7 Pemantapan Mutu Internal (PMI) untuk pemeriksaan identifikasi virus</t>
  </si>
  <si>
    <t xml:space="preserve">1)	  Terdapat dokumentasi jenis/sistem inang yang digunakan untuk mengisolasi virus dan disimpan sesuai dengan ketentuan peraturan perundang-undangan.</t>
  </si>
  <si>
    <t xml:space="preserve">[D] Daftar jenis/sistem inang yang digunakan untuk mengisolasi virus dan penyimpanannya sesuai dengan peraturan perundang-undangan.</t>
  </si>
  <si>
    <t xml:space="preserve">2)	  Terdapat dokumentasi metode pengujian yang digunakan dan disimpan sesuai dengan ketentuan peraturan perundang-undangan.</t>
  </si>
  <si>
    <t xml:space="preserve">[D] Bukti dokumentasi metode pengujian yang digunakan dan disimpan sesuai dengan ketentuan peraturan perundang-undangan</t>
  </si>
  <si>
    <t xml:space="preserve">3).  Terdapat dokumentasi reaksi yang terjadi dan disimpan sesuai dengan peraturan perundang-undangan</t>
  </si>
  <si>
    <t xml:space="preserve">[D] Bukti dokumentasi reaksi yang terjadi dan disimpan sesuai dengan peraturan perundang-undangan</t>
  </si>
  <si>
    <t xml:space="preserve">4).  Terdapat bukti pelaksanaan pemantapan mutu internal sesuai dengan tahapan/pemeriksaan yang ditetapkan.</t>
  </si>
  <si>
    <t xml:space="preserve">[D] Bukti pelaksanaan Pemantapan Mutu Internal sesuai dengan tahapan/pemeriksaan  yang ditetapkan</t>
  </si>
  <si>
    <t xml:space="preserve">5).  Terdapat bukti dokumentasi pelaksanaan pemantapan mutu internal dan evaluasi</t>
  </si>
  <si>
    <t xml:space="preserve">[D] Bukti pelaksanaan dan evaluasi PMI</t>
  </si>
  <si>
    <t xml:space="preserve">Standar PM 8 Pemantapan Mutu Internal (PMI) untuk pemeriksaan urinalisis mikroskopis klinis — Laboratorium kesehatan melakukan pemantapan mutu internal untuk memastikan hasil pemeriksaan urinalisis mikroskopis klinis yang berkualitas.</t>
  </si>
  <si>
    <t xml:space="preserve">Standar PM 8 Pemantapan Mutu Internal (PMI) untuk pemeriksaan urinalisis mikroskopis klinis</t>
  </si>
  <si>
    <t xml:space="preserve">1) Terdapat bukti pemeriksaan urinalisis dilakukan dalam rentang waktu yang sudah ditentukan.</t>
  </si>
  <si>
    <t xml:space="preserve">[R
 D] Regulasi rentang waktu pemeriksaan urinalisis.
Bukti pemeriksaan urinalisis dalam rentang waktu yang sudah di tentukan.</t>
  </si>
  <si>
    <t xml:space="preserve">2)	Terdapat bukti jika laboratorium kesehatan harus melakukan pemeriksaan urin yang dianggap melebihi rentang waktu yang ditentukan, laboratorium kesehatan harus membuat keterangan tentang kondisi tersebut di laporan hasil.</t>
  </si>
  <si>
    <t xml:space="preserve">[D
W] Bukti keterangan pada laporan hasil pemeriksaan urine yang dilakukan melebihi rentang waktu yang sudah di tentukan. 
Pelaksana Laboratorium Kesehatan</t>
  </si>
  <si>
    <t xml:space="preserve">3)	Terdapat bukti pemantapan mutu internal pemeriksaan urin dan memenuhi huruf a) dan huruf b).</t>
  </si>
  <si>
    <t xml:space="preserve">[D] Bukti pemantapan mutu internal pemeriksaan urin dan memenuhi huruf a) dan b) pada maksud dan tujuan.</t>
  </si>
  <si>
    <t xml:space="preserve">4)	Terdapat bukti laboratorium kesehatan menerapkan elemen huruf c) dan huruf d) dalam maksud dan tujuan.</t>
  </si>
  <si>
    <t xml:space="preserve">[D
W] Bukti penerapan pada huruf c) dan d) pada maksud dan tujuan.
Penanggung jawab unit dan petugas pelaksana.</t>
  </si>
  <si>
    <t xml:space="preserve">Standar PM 9 Penggunaan kontrol pada pemeriksaan serologi — Laboratorium kesehatan yang melakukan pemeriksaan serologi termasuk sifilis, wajib mengikutsertakan kontrol positif yang sudah diketahui titernya dan </t>
  </si>
  <si>
    <t xml:space="preserve">Standar PM 9 Penggunaan kontrol pada pemeriksaan serologi</t>
  </si>
  <si>
    <t xml:space="preserve">1)	  Laboratorium kesehatan melakukan pemantapan mutu internal pada setiap pemeriksaan imunoserologi dengan menggunakan kontrol positif dan negatif pada setiap pemeriksaan.</t>
  </si>
  <si>
    <t xml:space="preserve">[R
D] Regulasi pementapan mutu internal pada pemeriksaan imunoserologi dengan menggunakan kontrol positif dan negatif.
Bukti pelaksanaan pementapan mutu internal pada pemeriksaan imunoserologi dengan menggunakan kontrol positif dan negatif.</t>
  </si>
  <si>
    <t xml:space="preserve">2)	  Jika laboratorium kesehatan menggunakan kit dimana bahan kontrol sudah termasuk dalam kit, maka laboratorium kesehatan harus melakukan pemantapan mutu internal juga bagi reagensia lainnya yang tidak termasuk dalam kit (mis. PBS, buffer, komplemen, reagensia fluoresensi), dengan frekuensi sesuai rekomendasi supplier/vendor alat tersebut atau paling sedikit 1 (satu) kali dalam 1 (satu) bulan, atau setiap penggantian lot baru.</t>
  </si>
  <si>
    <t xml:space="preserve">[R
D] Regulasi pelaksanaan PMI untuk reagen tambahan (tidak termasuk dalam kit)
Bukti pelaksanaan pemantapan mutu internal juga bagi reagensia lainnya yang tidak termasuk dalam kit (mis. PBS, buffer, komplemen, reagenia fluoresensi), dengan frekuensi sesuai rekomendasi supplier/vendor alat tersebut atau paling sedikit 1 (satu) kali dalam 1 (satu) bulan, atau setiap penggantian lot baru.</t>
  </si>
  <si>
    <t xml:space="preserve">3)	  Terdapat bukti laboratorium kesehatan melakukan pengujian terhadap semua komponen untuk menentukan reaktivitas/berfungsi dengan baik.</t>
  </si>
  <si>
    <t xml:space="preserve">[D] Bukti  pengujian terhadap semua komponen untuk menentukan reaktivitas/berfungsi dengan baik</t>
  </si>
  <si>
    <t xml:space="preserve">4)	  Terdapat bukti laboratorium kesehatan menentukan pola reaktivitas kontrol untuk semua komponen uji sebelum melakukan pemeriksaan.</t>
  </si>
  <si>
    <t xml:space="preserve">[R
D] Regulasi penentuan pola reaktivitas kontrol untuk semua komponen uji sebelum melakukan pemeriksaan.
Bukti penentuan pola reaktivitas kontrol untuk semua komponen uji sebelum melakukan pemeriksaan</t>
  </si>
  <si>
    <t xml:space="preserve">5)	  Terdapat dokumentasi pelaksanaan pemantapan mutu internal pada pemeriksaan serologi.</t>
  </si>
  <si>
    <t xml:space="preserve">[D
W] Bukti  pelaksanaan Pemantapan Mutu Internal pada pemeriksaan serologi.
Petugas Pelaksana PMI serologi.</t>
  </si>
  <si>
    <t xml:space="preserve">Standar PM 10 Pemeriksaan molekuler — Laboratorium kesehatan melakukan pemeriksaan molekuler dilaksanakan sesuai dengan kebijakan dan prosedur.</t>
  </si>
  <si>
    <t xml:space="preserve">Standar PM 10 Pemeriksaan molekuler</t>
  </si>
  <si>
    <t xml:space="preserve">1) Laboratorium kesehatan mengikuti kebijakan dan prosedur mencakup pada angka 2) huruf a) sampai dengan huruf g).</t>
  </si>
  <si>
    <t xml:space="preserve">[R
D] Regulasi: kebijakan dan prosedur tentang pemeriksaan molekuler yang mencakup pada angka 2) huruf a) sampai dengan huruf g).
Bukti pelaksanaan pemeriksaan molekuler yang mencakup angka 2) huruf a) sampai dengan huruf g)</t>
  </si>
  <si>
    <t xml:space="preserve">2)	  Terdapat dokumentasi semua reagen asam nukleat, termasuk probe dan primer yang digunakan.</t>
  </si>
  <si>
    <t xml:space="preserve">[D] Bukti reagen asam nukleat, termasuk probe dan primer yang digunakan</t>
  </si>
  <si>
    <t xml:space="preserve">Standar PM 10.1 Validasi spesimen — Validasi pada setiap tingkatan level setiap jenis spesimen yang diperiksa</t>
  </si>
  <si>
    <t xml:space="preserve">Standar PM 10.1 Validasi spesimen</t>
  </si>
  <si>
    <t xml:space="preserve">1)	  Tersedia prosedur validasi yang mencakup setiap jenis tingkatan level (positif dan negatif) spesimen yang diperiksa.</t>
  </si>
  <si>
    <t xml:space="preserve">[R] Regulasi: prosedur validasi pada setiap jenis tingkatan level (positif dan negatif) spesimen yang diperiksa.</t>
  </si>
  <si>
    <t xml:space="preserve">2)	  Terdapat dokumentasi semua langka-langkah validasi dilaksanakan.</t>
  </si>
  <si>
    <t xml:space="preserve">[D] Bukti pelaksanaan langkah-langkah validasi</t>
  </si>
  <si>
    <t xml:space="preserve">Standar PM 10.2 Penetapan batas rentang nilai kontrol, nilai rujukan, dan batasan pelaporan — Laboratorium kesehatan menetapkan batas rentang nilai kontrol, nilai rujukan, dan batasan pelaporan.</t>
  </si>
  <si>
    <t xml:space="preserve">Standar PM 10.2 Penetapan batas rentang nilai kontrol, nilai rujukan, dan batasan pelaporan</t>
  </si>
  <si>
    <t xml:space="preserve">1)	  Terdapat penetapan batas rentang nilai rujukan yang dapat diterima untuk semua pengujian yang dilakukan.</t>
  </si>
  <si>
    <t xml:space="preserve">[R
D] Regulasi penetapan batas rentang nilai  rujukan   yang  dapat diterima untuk semua pengujian yang dilakukan.
Bukti hasil pengujian yang terdapat rentang nilai rujukan.</t>
  </si>
  <si>
    <t xml:space="preserve">2)	  Terdapat ketetapan batasan rentang nilai pelaporan untuk semua tes yang dilakukan dan tidak melaporkan hasil apabila diluar dari nilai tersebut.</t>
  </si>
  <si>
    <t xml:space="preserve">[R
O] Regulasi penetapan batasan rentang nilai pelaporan untuk semua tes yang dilakukan dan tidak melaporkan hasil apabila diluar dari nilai tersebut
Rekaman hasil pemeriksaan sesuai dengan batasan rentang nilai pelaporan.</t>
  </si>
  <si>
    <t xml:space="preserve">3)	  Terdapat ketetapan batas nilai kontrol untuk setiap pemeriksaan.</t>
  </si>
  <si>
    <t xml:space="preserve">[R] Regulasi penetapan batas  nilai kontrol untuk setiap pemeriksaan</t>
  </si>
  <si>
    <t xml:space="preserve">Standar PM 10.3 Pemantapan Mutu Internal (PMI) pemeriksaan patologi molecular — Laboratorium kesehatan memverifikasi setiap hasil pemeriksaan patologi molecular menggunakan pemantapan mutu internal.</t>
  </si>
  <si>
    <t xml:space="preserve">Standar PM 10.3 Pemantapan Mutu Internal (PMI) pemeriksaan patologi molecular</t>
  </si>
  <si>
    <t xml:space="preserve">1)	   Tersedia prosedur pemantapan mutu internal untuk setiap metode pemeriksaan dan mengacu pada standar yang berlaku.</t>
  </si>
  <si>
    <t xml:space="preserve">[R] Regulasi: prosedur pemantapan mutu internal pemeriksaan patologi molecular</t>
  </si>
  <si>
    <t xml:space="preserve">2)	  Terdapat dokumentasi pelaksanaan pemantapan mutu internal didokumentasikan dan dievaluasi</t>
  </si>
  <si>
    <t xml:space="preserve">[D] Bukti pelaksanaan dan evaluasi pemantapan mutu internal pemeriksaan patologi molecular.</t>
  </si>
  <si>
    <t xml:space="preserve">Standar PM 11 Pemantapan Mutu Internal (PMI) untuk semua parameter pemeriksaan air — Pimpinan laboratorium kesehatan menetapkan kebijakan dan prosedur pemantapan mutu internal untuk semua pemeriksaan air</t>
  </si>
  <si>
    <t xml:space="preserve">Standar PM 11 Pemantapan Mutu Internal (PMI) untuk semua parameter pemeriksaan air</t>
  </si>
  <si>
    <t xml:space="preserve">1)	  Tersedia prosedur pemantapan mutu internal untuk semua pemeriksaan air.</t>
  </si>
  <si>
    <t xml:space="preserve">[R] Regulasi: prosedur pemantapan mutu internal untuk semua pemeriksaan air yang mencakup pembuatan kurva kalibrasi, menetapkan akurasi dan presisi pada pemeriksaan kimia air, langkah-langkah yang akan dilakukan untuk menindaklanjuti bila nilai keberterimaan tidak terpenuhi.</t>
  </si>
  <si>
    <t xml:space="preserve">2)	  Terdapat pemantapan mutu internal yang mencakup pembuatan kurva kalibrasi, menetapkan akurasi dan presisi pada pemeriksaan kimia air</t>
  </si>
  <si>
    <t xml:space="preserve">[D] Bukti pelaksanaan PMI yang mencakup pembuatan kurva kalibrasi, menetapkan akurasi dan presisi pada pemeriksaan kimia air.</t>
  </si>
  <si>
    <t xml:space="preserve">3)	  Terdapat prosedur yang memuat langkah-langkah yang akan dilakukan untuk menindaklanjuti bila nilai keberterimaan tidak terpenuhi dan implementasinya</t>
  </si>
  <si>
    <t xml:space="preserve">[D] Bukti implementasi dan tindak lanjut bila nilai keberterimaan tidak terpenuhi .</t>
  </si>
  <si>
    <t xml:space="preserve">4)	  Terdapat bukti dilakukan verifikasi metode paling sedikit 1(satu) kali dalam 1 (satu) tahun.</t>
  </si>
  <si>
    <t xml:space="preserve">[D] Bukti verifikasi metode paling sedikit 1(satu) kali dalam 1 (satu) tahun.</t>
  </si>
  <si>
    <t xml:space="preserve">5)	  Terdapat jaminan keakuratan hasil pemeriksaan mikrobiologi air.</t>
  </si>
  <si>
    <t xml:space="preserve">[D
W
S] Bukti jaminan keakuratan hasil pemeriksaan mikrobiologi air.
Petugas Pelaksana
Cara pemeriksaan mikrobiologi air.</t>
  </si>
  <si>
    <t xml:space="preserve">6)	  Terdapat dokumentasi hasil pelaksanaan pemantapan mutu internal</t>
  </si>
  <si>
    <t xml:space="preserve">[D] Bukti hasil pelaksanaan Pemantapan Mutu Internal</t>
  </si>
  <si>
    <t xml:space="preserve">Standar PM 12 Pemantapan Mutu Internal (PMI) untuk semua parameter pemeriksaan makanan — Pimpinan laboratorium kesehatan menetapkan kebijakan dan prosedur pemantapan mutu internal untuk semua pemeriksaan makanan.</t>
  </si>
  <si>
    <t xml:space="preserve">Standar PM 12 Pemantapan Mutu Internal (PMI) untuk semua parameter pemeriksaan makanan</t>
  </si>
  <si>
    <t xml:space="preserve">1)	Tersedia prosedur pemantapan mutu internal untuk semua pemeriksaan makanan</t>
  </si>
  <si>
    <t xml:space="preserve">[R] Regulasi: prosedur pemantapan mutu internal untuk semua pemeriksaan makanan termasuk memuat langkah-langkah yang akan dilakukan untuk menindaklanjuti bila nilai keberterimaan tidak terpenuhi</t>
  </si>
  <si>
    <t xml:space="preserve">2)	Terdapat bukti pemantapan mutu internal menggunakan standar/kontrol pada pemeriksaan kualitatif.</t>
  </si>
  <si>
    <t xml:space="preserve">[D] Bukti pelaksanaan Pemantapan Mutu Internal menggunakan standar/kontrol pada pemeriksaan kualitatif.</t>
  </si>
  <si>
    <t xml:space="preserve">3)	Tersedia kurva kalibrasi atau pembacaan kontrol pada pemeriksaan kuantitatif.</t>
  </si>
  <si>
    <t xml:space="preserve">[D] Bukti kurva kalibrasi  atau pembacaan kontrol pada pemeriksaan kuantitatif.</t>
  </si>
  <si>
    <t xml:space="preserve">4)	Terdapat prosedur yang memuat langkah-langkah yang akan dilakukan untuk menindaklanjuti bila nilai keberterimaan tidak terpenuhi.</t>
  </si>
  <si>
    <t xml:space="preserve">[D] Bukti tindak lanjut bila nilai keberterimaan tidak terpenuhi</t>
  </si>
  <si>
    <t xml:space="preserve">5)	Terdapat bukti verifikasi metode paling sedikit 1 (satu) kali dalam 1 (satu) tahun.</t>
  </si>
  <si>
    <t xml:space="preserve">[D] Bukti verifikasi metode paling sedikit 1 (satu) kali dalam 1 (satu) tahun.</t>
  </si>
  <si>
    <t xml:space="preserve">6)	Terdapat bukti  jaminan keakuratan hasil pemeriksaan mikrobiologi pada makanan.</t>
  </si>
  <si>
    <t xml:space="preserve">[D
W] Bukti jaminan keakuratan hasil pemeriksaan mikrobiologi pada makanan. 
Petugas Pelaksana</t>
  </si>
  <si>
    <t xml:space="preserve">7)	Terdapat dokumentasi hasil pelaksanaan pemantapan mutu internal.</t>
  </si>
  <si>
    <t xml:space="preserve">[D] Bukti hasil pelaksanaan pemantapan mutu internal.</t>
  </si>
  <si>
    <t xml:space="preserve">Standar PM 13 Pemantapan Mutu Internal (PMI) untuk semua parameter pemeriksaan kualitas udara — Pimpinan laboratorium kesehatan menetapkan kebijakan dan prosedur pemantapan mutu internal untuk semua pemeriksaan kualitas udara.</t>
  </si>
  <si>
    <t xml:space="preserve">Standar PM 13 Pemantapan Mutu Internal (PMI) untuk semua parameter pemeriksaan kualitas udara</t>
  </si>
  <si>
    <t xml:space="preserve">1)	  Tersedia prosedur pemantapan mutu internal untuk semua pemeriksaan kualitas udara.</t>
  </si>
  <si>
    <t xml:space="preserve">[R] Regulasi: prosedur pemantapan mutu internal untuk semua pemeriksaan kualitas udara</t>
  </si>
  <si>
    <t xml:space="preserve">2)	  Terdapat dokumentasi hasil pelaksanaan pemantapan mutu internal.  .</t>
  </si>
  <si>
    <t xml:space="preserve">[D
W] Bukti  hasil pelaksanaan pemantapan mutu internal. 
Petugas Pelaksana</t>
  </si>
  <si>
    <t xml:space="preserve">RINGKASAN CAPAIAN BAB VI</t>
  </si>
  <si>
    <t xml:space="preserve">TOTAL BAB VI</t>
  </si>
  <si>
    <t xml:space="preserve">Bab VII. PROGRAM PRIORITAS NASIONAL (PPN) — KONTEN RESMI LENGKAP</t>
  </si>
  <si>
    <t xml:space="preserve">Standar PPN 1 Kewajiban laboratorium kesehatan mendukung program pengendalian HIV — Laboratorium wajib mendukung pemerintah dalam pengendalian HIV</t>
  </si>
  <si>
    <t xml:space="preserve">Standar PPN 1 Kewajiban laboratorium kesehatan mendukung program pengendalian HIV</t>
  </si>
  <si>
    <t xml:space="preserve">1)	  Terdapat bukti bahwa laboratorium melakukan komunikasi dan koordinasi dengan lintas terkait untuk menjamin terlaksananya penanggulangan HIV.</t>
  </si>
  <si>
    <t xml:space="preserve">[D
W] Bukti komunikasi dan koordinasi dengan lintas terkait untuk menjamin terlaksananya penanggulangan HIV. 
Kepala Labkes, Penanggung Jawab Tiap Unit, Penanggung Jawab Mutu.</t>
  </si>
  <si>
    <t xml:space="preserve">2)	Terdapat bukti bahwa laboratorium kesehatan menerapkan upaya penanggulangan HIV sesuai dengan hasil komunikasi dan koordinasi dengan lintas terkait.</t>
  </si>
  <si>
    <t xml:space="preserve">[D] Bukti penerapan upaya penanggulangan HIV sesuai dengan hasil komunikasi dan koordinasi dengan lintas terkait</t>
  </si>
  <si>
    <t xml:space="preserve">Standar PPN 2. Kewajiban laboratorium kesehatan mendukung program pengendalian TB — Laboratorium wajib mendukung pemerintah dalam pengendalian TB</t>
  </si>
  <si>
    <t xml:space="preserve">Standar PPN 2. Kewajiban laboratorium kesehatan mendukung program pengendalian TB</t>
  </si>
  <si>
    <t xml:space="preserve">1)	  Terdapat bukti bahwa laboratorium melakukan komunikasi dan koordinasi dengan lintas terkait untuk menjamin terlaksananya penanggulangan TB.</t>
  </si>
  <si>
    <t xml:space="preserve">[D
W] Bukti komunikasi dan koordinasi dengan lintas terkait untuk menjamin terlaksananya penanggulangan TB. 
Kepala Labkes, Penanggung Jawab Tiap Unit, Penanggung Jawab Mutu</t>
  </si>
  <si>
    <t xml:space="preserve">2)	  Terdapat bukti bahwa laboratorium kesehatan menerapkan upaya penanggulangan TB sesuai dengan hasil komunikasi dan koordinasi dengan lintas terkait</t>
  </si>
  <si>
    <t xml:space="preserve">[D] Bukti penerapan upaya penanggulangan TB sesuai dengan hasil komunikasi dan koordinasi dengan lintas terkait.</t>
  </si>
  <si>
    <t xml:space="preserve">Standar PPN. 3. Kewajiban laboratorium kesehatan mendukung program penurunan AKI/AKB — Laboratorium wajib mendukung pemerintah dalam menurunkan AKI/AKB</t>
  </si>
  <si>
    <t xml:space="preserve">Standar PPN. 3. Kewajiban laboratorium kesehatan mendukung program penurunan AKI/AKB</t>
  </si>
  <si>
    <t xml:space="preserve">1) Terdapat bukti bahwa laboratorium melakukan komunikasi dan koordinasi dengan lintas terkait dalam menurunkan AKI/AKB.</t>
  </si>
  <si>
    <t xml:space="preserve">[D
W] Bukti komunikasi dan koordinasi dengan lintas terkait dalam menurunkan AKI/AKB
Kepala Labkes, Penanggung Jawab Tiap Unit, Penanggung Jawab Mutu</t>
  </si>
  <si>
    <t xml:space="preserve">2) Terdapat bukti bahwa laboratorium kesehatan menerapkan upaya dalam menurunkan AKI/AKB sesuai dengan hasil komunikasi dan koordinasi dengan lintas terkait.</t>
  </si>
  <si>
    <t xml:space="preserve">[D] Bukti penerapan upaya penanggulangan AKI/AKB sesuai dengan hasil komunikasi dan koordinasi dengan lintas terkait.</t>
  </si>
  <si>
    <t xml:space="preserve">RINGKASAN CAPAIAN BAB VII</t>
  </si>
  <si>
    <t xml:space="preserve">TOTAL BAB VII</t>
  </si>
  <si>
    <t xml:space="preserve">REKAPITULASI CAPAIAN SELURUH BAB</t>
  </si>
  <si>
    <t xml:space="preserve">No</t>
  </si>
  <si>
    <t xml:space="preserve">Bab</t>
  </si>
  <si>
    <t xml:space="preserve">Bab I. SASARAN KESELAMATAN PASIEN (SKP)</t>
  </si>
  <si>
    <t xml:space="preserve">Bab II. TATA KELOLA KEPEMIMPINAN (TKK)</t>
  </si>
  <si>
    <t xml:space="preserve">Bab III. MANAJEMEN INFORMASI (MI)</t>
  </si>
  <si>
    <t xml:space="preserve">Bab IV. KUALIFIKASI DAN KOMPETENSI STAF (KKS)</t>
  </si>
  <si>
    <t xml:space="preserve">Bab V. MANAJEMEN FASILITAS DAN KESELAMATAN (MFK)</t>
  </si>
  <si>
    <t xml:space="preserve">Bab VI. PENGENDALIAN MUTU (PM)</t>
  </si>
  <si>
    <t xml:space="preserve">Bab VII. PROGRAM PRIORITAS NASIONAL (PPN)</t>
  </si>
  <si>
    <t xml:space="preserve">TOTAL</t>
  </si>
  <si>
    <t xml:space="preserve">Keterangan Ambang Batas Akreditasi:</t>
  </si>
  <si>
    <t xml:space="preserve">•  Paripurna — seluruh Bab minimal 80%</t>
  </si>
  <si>
    <t xml:space="preserve">•  Utama — 4–6 Bab minimal 80%, dan Bab I (SKP) minimal 80%</t>
  </si>
  <si>
    <t xml:space="preserve">•  Madya — 2–3 Bab minimal 80%, dan Bab I (SKP) minimal 80%</t>
  </si>
  <si>
    <t xml:space="preserve">•  Tidak Terakreditasi — Bab I (SKP) kurang dari 80%</t>
  </si>
</sst>
</file>

<file path=xl/styles.xml><?xml version="1.0" encoding="utf-8"?>
<styleSheet xmlns="http://schemas.openxmlformats.org/spreadsheetml/2006/main">
  <numFmts count="3">
    <numFmt numFmtId="164" formatCode="General"/>
    <numFmt numFmtId="165" formatCode="General"/>
    <numFmt numFmtId="166" formatCode="0.0%"/>
  </numFmts>
  <fonts count="20">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b val="true"/>
      <sz val="11"/>
      <color rgb="FF123832"/>
      <name val="Arial"/>
      <family val="0"/>
      <charset val="1"/>
    </font>
    <font>
      <b val="true"/>
      <sz val="10.5"/>
      <name val="Arial"/>
      <family val="0"/>
      <charset val="1"/>
    </font>
    <font>
      <b val="true"/>
      <sz val="12"/>
      <name val="Arial"/>
      <family val="0"/>
      <charset val="1"/>
    </font>
    <font>
      <sz val="10.5"/>
      <name val="Arial"/>
      <family val="0"/>
      <charset val="1"/>
    </font>
    <font>
      <b val="true"/>
      <sz val="12"/>
      <color rgb="FFFFFFFF"/>
      <name val="Arial"/>
      <family val="0"/>
      <charset val="1"/>
    </font>
    <font>
      <i val="true"/>
      <sz val="9.5"/>
      <color rgb="FF2F5D57"/>
      <name val="Arial"/>
      <family val="0"/>
      <charset val="1"/>
    </font>
    <font>
      <b val="true"/>
      <sz val="10"/>
      <color rgb="FFFFFFFF"/>
      <name val="Arial"/>
      <family val="0"/>
      <charset val="1"/>
    </font>
    <font>
      <b val="true"/>
      <sz val="9.5"/>
      <color rgb="FFFFFFFF"/>
      <name val="Arial"/>
      <family val="0"/>
      <charset val="1"/>
    </font>
    <font>
      <sz val="8.5"/>
      <name val="Arial"/>
      <family val="0"/>
      <charset val="1"/>
    </font>
    <font>
      <b val="true"/>
      <sz val="9"/>
      <name val="Arial"/>
      <family val="0"/>
      <charset val="1"/>
    </font>
    <font>
      <sz val="9"/>
      <name val="Arial"/>
      <family val="0"/>
      <charset val="1"/>
    </font>
    <font>
      <sz val="9.5"/>
      <name val="Arial"/>
      <family val="0"/>
      <charset val="1"/>
    </font>
    <font>
      <b val="true"/>
      <sz val="9.5"/>
      <name val="Arial"/>
      <family val="0"/>
      <charset val="1"/>
    </font>
    <font>
      <b val="true"/>
      <sz val="13"/>
      <color rgb="FFFFFFFF"/>
      <name val="Arial"/>
      <family val="0"/>
      <charset val="1"/>
    </font>
    <font>
      <b val="true"/>
      <sz val="10"/>
      <name val="Arial"/>
      <family val="0"/>
      <charset val="1"/>
    </font>
  </fonts>
  <fills count="5">
    <fill>
      <patternFill patternType="none"/>
    </fill>
    <fill>
      <patternFill patternType="gray125"/>
    </fill>
    <fill>
      <patternFill patternType="solid">
        <fgColor rgb="FF123832"/>
        <bgColor rgb="FF003300"/>
      </patternFill>
    </fill>
    <fill>
      <patternFill patternType="solid">
        <fgColor rgb="FFC79A3C"/>
        <bgColor rgb="FFB9B39C"/>
      </patternFill>
    </fill>
    <fill>
      <patternFill patternType="solid">
        <fgColor rgb="FFE7E4D4"/>
        <bgColor rgb="FFCCFFCC"/>
      </patternFill>
    </fill>
  </fills>
  <borders count="2">
    <border diagonalUp="false" diagonalDown="false">
      <left/>
      <right/>
      <top/>
      <bottom/>
      <diagonal/>
    </border>
    <border diagonalUp="false" diagonalDown="false">
      <left style="thin">
        <color rgb="FFB9B39C"/>
      </left>
      <right style="thin">
        <color rgb="FFB9B39C"/>
      </right>
      <top style="thin">
        <color rgb="FFB9B39C"/>
      </top>
      <bottom style="thin">
        <color rgb="FFB9B39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1"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2" borderId="0" xfId="0" applyFont="true" applyBorder="true" applyAlignment="true" applyProtection="false">
      <alignment horizontal="general" vertical="center" textRotation="0" wrapText="true" indent="1" shrinkToFit="false"/>
      <protection locked="true" hidden="false"/>
    </xf>
    <xf numFmtId="164" fontId="10" fillId="0" borderId="0" xfId="0" applyFont="true" applyBorder="true" applyAlignment="true" applyProtection="false">
      <alignment horizontal="general" vertical="top" textRotation="0" wrapText="true" indent="1" shrinkToFit="false"/>
      <protection locked="true" hidden="false"/>
    </xf>
    <xf numFmtId="164" fontId="11" fillId="3" borderId="1" xfId="0" applyFont="true" applyBorder="true" applyAlignment="true" applyProtection="false">
      <alignment horizontal="center" vertical="center" textRotation="0" wrapText="true" indent="0" shrinkToFit="false"/>
      <protection locked="true" hidden="false"/>
    </xf>
    <xf numFmtId="164" fontId="12" fillId="2" borderId="0" xfId="0" applyFont="true" applyBorder="true" applyAlignment="true" applyProtection="false">
      <alignment horizontal="general" vertical="center" textRotation="0" wrapText="true" indent="1"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center" vertical="top"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5" fillId="4" borderId="0" xfId="0" applyFont="true" applyBorder="true" applyAlignment="true" applyProtection="false">
      <alignment horizontal="general" vertical="center" textRotation="0" wrapText="true" indent="1" shrinkToFit="false"/>
      <protection locked="true" hidden="false"/>
    </xf>
    <xf numFmtId="164" fontId="12" fillId="3" borderId="1" xfId="0" applyFont="true" applyBorder="true" applyAlignment="true" applyProtection="false">
      <alignment horizontal="center" vertical="bottom" textRotation="0" wrapText="true" indent="0" shrinkToFit="false"/>
      <protection locked="true" hidden="false"/>
    </xf>
    <xf numFmtId="164" fontId="15" fillId="0" borderId="1" xfId="0" applyFont="true" applyBorder="true" applyAlignment="true" applyProtection="false">
      <alignment horizontal="general" vertical="bottom" textRotation="0" wrapText="true" indent="0" shrinkToFit="false"/>
      <protection locked="true" hidden="false"/>
    </xf>
    <xf numFmtId="164" fontId="16" fillId="0" borderId="1" xfId="0" applyFont="true" applyBorder="true" applyAlignment="true" applyProtection="false">
      <alignment horizontal="center" vertical="bottom" textRotation="0" wrapText="false" indent="0" shrinkToFit="false"/>
      <protection locked="true" hidden="false"/>
    </xf>
    <xf numFmtId="165" fontId="16" fillId="0" borderId="1" xfId="0" applyFont="true" applyBorder="true" applyAlignment="false" applyProtection="false">
      <alignment horizontal="general" vertical="bottom" textRotation="0" wrapText="false" indent="0" shrinkToFit="false"/>
      <protection locked="true" hidden="false"/>
    </xf>
    <xf numFmtId="166" fontId="16" fillId="0" borderId="1" xfId="0" applyFont="true" applyBorder="true" applyAlignment="false" applyProtection="false">
      <alignment horizontal="general" vertical="bottom" textRotation="0" wrapText="false" indent="0" shrinkToFit="false"/>
      <protection locked="true" hidden="false"/>
    </xf>
    <xf numFmtId="164" fontId="17" fillId="4" borderId="1" xfId="0" applyFont="true" applyBorder="true" applyAlignment="false" applyProtection="false">
      <alignment horizontal="general" vertical="bottom" textRotation="0" wrapText="false" indent="0" shrinkToFit="false"/>
      <protection locked="true" hidden="false"/>
    </xf>
    <xf numFmtId="165" fontId="17" fillId="4" borderId="1" xfId="0" applyFont="true" applyBorder="true" applyAlignment="true" applyProtection="false">
      <alignment horizontal="center" vertical="bottom" textRotation="0" wrapText="false" indent="0" shrinkToFit="false"/>
      <protection locked="true" hidden="false"/>
    </xf>
    <xf numFmtId="166" fontId="17" fillId="4" borderId="1" xfId="0" applyFont="true" applyBorder="true" applyAlignment="false" applyProtection="false">
      <alignment horizontal="general" vertical="bottom" textRotation="0" wrapText="false" indent="0" shrinkToFit="false"/>
      <protection locked="true" hidden="false"/>
    </xf>
    <xf numFmtId="164" fontId="18" fillId="2" borderId="0" xfId="0" applyFont="true" applyBorder="tru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center" vertical="bottom"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19" fillId="4" borderId="1" xfId="0" applyFont="true" applyBorder="true" applyAlignment="false" applyProtection="false">
      <alignment horizontal="general" vertical="bottom" textRotation="0" wrapText="false" indent="0" shrinkToFit="false"/>
      <protection locked="true" hidden="false"/>
    </xf>
    <xf numFmtId="165" fontId="19" fillId="4" borderId="1" xfId="0" applyFont="true" applyBorder="true" applyAlignment="true" applyProtection="false">
      <alignment horizontal="center" vertical="bottom" textRotation="0" wrapText="false" indent="0" shrinkToFit="false"/>
      <protection locked="true" hidden="false"/>
    </xf>
    <xf numFmtId="166" fontId="19" fillId="4"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9B39C"/>
      <rgbColor rgb="FF808080"/>
      <rgbColor rgb="FF9999FF"/>
      <rgbColor rgb="FF993366"/>
      <rgbColor rgb="FFE7E4D4"/>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C79A3C"/>
      <rgbColor rgb="FFFF6600"/>
      <rgbColor rgb="FF2F5D57"/>
      <rgbColor rgb="FF969696"/>
      <rgbColor rgb="FF003366"/>
      <rgbColor rgb="FF339966"/>
      <rgbColor rgb="FF003300"/>
      <rgbColor rgb="FF333300"/>
      <rgbColor rgb="FF993300"/>
      <rgbColor rgb="FF993366"/>
      <rgbColor rgb="FF333399"/>
      <rgbColor rgb="FF12383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4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5"/>
  </cols>
  <sheetData>
    <row r="2" customFormat="false" ht="25.5" hidden="false" customHeight="true" outlineLevel="0" collapsed="false">
      <c r="B2" s="1" t="s">
        <v>0</v>
      </c>
    </row>
    <row r="3" customFormat="false" ht="25.5" hidden="false" customHeight="true" outlineLevel="0" collapsed="false">
      <c r="B3" s="2" t="s">
        <v>1</v>
      </c>
    </row>
    <row r="5" customFormat="false" ht="25.35" hidden="false" customHeight="false" outlineLevel="0" collapsed="false">
      <c r="B5" s="3" t="s">
        <v>2</v>
      </c>
    </row>
    <row r="7" customFormat="false" ht="15" hidden="false" customHeight="false" outlineLevel="0" collapsed="false">
      <c r="B7" s="4" t="s">
        <v>3</v>
      </c>
    </row>
    <row r="8" customFormat="false" ht="25.35" hidden="false" customHeight="false" outlineLevel="0" collapsed="false">
      <c r="B8" s="5" t="s">
        <v>4</v>
      </c>
    </row>
    <row r="9" customFormat="false" ht="25.35" hidden="false" customHeight="false" outlineLevel="0" collapsed="false">
      <c r="B9" s="5" t="s">
        <v>5</v>
      </c>
    </row>
    <row r="11" customFormat="false" ht="15" hidden="false" customHeight="false" outlineLevel="0" collapsed="false">
      <c r="B11" s="4" t="s">
        <v>6</v>
      </c>
    </row>
    <row r="12" customFormat="false" ht="37.3" hidden="false" customHeight="false" outlineLevel="0" collapsed="false">
      <c r="B12" s="6" t="s">
        <v>7</v>
      </c>
    </row>
    <row r="14" customFormat="false" ht="15" hidden="false" customHeight="false" outlineLevel="0" collapsed="false">
      <c r="B14" s="4" t="s">
        <v>8</v>
      </c>
    </row>
    <row r="15" customFormat="false" ht="15" hidden="false" customHeight="false" outlineLevel="0" collapsed="false">
      <c r="B15" s="5" t="s">
        <v>9</v>
      </c>
    </row>
    <row r="16" customFormat="false" ht="15" hidden="false" customHeight="false" outlineLevel="0" collapsed="false">
      <c r="B16" s="5" t="s">
        <v>10</v>
      </c>
    </row>
    <row r="17" customFormat="false" ht="15" hidden="false" customHeight="false" outlineLevel="0" collapsed="false">
      <c r="B17" s="5" t="s">
        <v>11</v>
      </c>
    </row>
    <row r="18" customFormat="false" ht="15" hidden="false" customHeight="false" outlineLevel="0" collapsed="false">
      <c r="B18" s="5" t="s">
        <v>12</v>
      </c>
    </row>
    <row r="19" customFormat="false" ht="15" hidden="false" customHeight="false" outlineLevel="0" collapsed="false">
      <c r="B19" s="5" t="s">
        <v>13</v>
      </c>
    </row>
    <row r="20" customFormat="false" ht="15" hidden="false" customHeight="false" outlineLevel="0" collapsed="false">
      <c r="B20" s="5" t="s">
        <v>14</v>
      </c>
    </row>
    <row r="21" customFormat="false" ht="15" hidden="false" customHeight="false" outlineLevel="0" collapsed="false">
      <c r="B21" s="5" t="s">
        <v>15</v>
      </c>
    </row>
    <row r="23" customFormat="false" ht="15" hidden="false" customHeight="false" outlineLevel="0" collapsed="false">
      <c r="B23" s="4" t="s">
        <v>16</v>
      </c>
    </row>
    <row r="24" customFormat="false" ht="15" hidden="false" customHeight="false" outlineLevel="0" collapsed="false">
      <c r="B24" s="5" t="s">
        <v>17</v>
      </c>
    </row>
    <row r="25" customFormat="false" ht="15" hidden="false" customHeight="false" outlineLevel="0" collapsed="false">
      <c r="B25" s="5" t="s">
        <v>18</v>
      </c>
    </row>
    <row r="26" customFormat="false" ht="15" hidden="false" customHeight="false" outlineLevel="0" collapsed="false">
      <c r="B26" s="5" t="s">
        <v>19</v>
      </c>
    </row>
    <row r="27" customFormat="false" ht="25.35" hidden="false" customHeight="false" outlineLevel="0" collapsed="false">
      <c r="B27" s="5" t="s">
        <v>20</v>
      </c>
    </row>
    <row r="29" customFormat="false" ht="15" hidden="false" customHeight="false" outlineLevel="0" collapsed="false">
      <c r="B29" s="4" t="s">
        <v>21</v>
      </c>
    </row>
    <row r="30" customFormat="false" ht="15" hidden="false" customHeight="false" outlineLevel="0" collapsed="false">
      <c r="B30" s="5" t="s">
        <v>22</v>
      </c>
    </row>
    <row r="31" customFormat="false" ht="15" hidden="false" customHeight="false" outlineLevel="0" collapsed="false">
      <c r="B31" s="5" t="s">
        <v>23</v>
      </c>
    </row>
    <row r="32" customFormat="false" ht="15" hidden="false" customHeight="false" outlineLevel="0" collapsed="false">
      <c r="B32" s="5" t="s">
        <v>24</v>
      </c>
    </row>
    <row r="33" customFormat="false" ht="15" hidden="false" customHeight="false" outlineLevel="0" collapsed="false">
      <c r="B33" s="5" t="s">
        <v>25</v>
      </c>
    </row>
    <row r="35" customFormat="false" ht="15" hidden="false" customHeight="false" outlineLevel="0" collapsed="false">
      <c r="B35" s="4" t="s">
        <v>26</v>
      </c>
    </row>
    <row r="36" customFormat="false" ht="49.25" hidden="false" customHeight="false" outlineLevel="0" collapsed="false">
      <c r="B36" s="6" t="s">
        <v>27</v>
      </c>
    </row>
    <row r="38" customFormat="false" ht="15" hidden="false" customHeight="false" outlineLevel="0" collapsed="false">
      <c r="B38" s="4" t="s">
        <v>28</v>
      </c>
    </row>
    <row r="39" customFormat="false" ht="15" hidden="false" customHeight="false" outlineLevel="0" collapsed="false">
      <c r="B39" s="5" t="s">
        <v>29</v>
      </c>
    </row>
    <row r="40" customFormat="false" ht="15" hidden="false" customHeight="false" outlineLevel="0" collapsed="false">
      <c r="B40" s="5" t="s">
        <v>30</v>
      </c>
    </row>
    <row r="41" customFormat="false" ht="15" hidden="false" customHeight="false" outlineLevel="0" collapsed="false">
      <c r="B41" s="5" t="s">
        <v>31</v>
      </c>
    </row>
    <row r="42" customFormat="false" ht="15" hidden="false" customHeight="false" outlineLevel="0" collapsed="false">
      <c r="B42" s="5" t="s">
        <v>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8"/>
    <col collapsed="false" customWidth="true" hidden="false" outlineLevel="0" max="3" min="3" style="0" width="48"/>
    <col collapsed="false" customWidth="true" hidden="false" outlineLevel="0" max="4" min="4" style="0" width="12"/>
    <col collapsed="false" customWidth="true" hidden="false" outlineLevel="0" max="5" min="5" style="0" width="30"/>
    <col collapsed="false" customWidth="true" hidden="false" outlineLevel="0" max="6" min="6" style="0" width="28"/>
  </cols>
  <sheetData>
    <row r="1" customFormat="false" ht="24" hidden="false" customHeight="true" outlineLevel="0" collapsed="false">
      <c r="A1" s="7" t="s">
        <v>33</v>
      </c>
      <c r="B1" s="7"/>
      <c r="C1" s="7"/>
      <c r="D1" s="7"/>
      <c r="E1" s="7"/>
      <c r="F1" s="7"/>
    </row>
    <row r="2" customFormat="false" ht="27.75" hidden="false" customHeight="true" outlineLevel="0" collapsed="false">
      <c r="A2" s="8" t="s">
        <v>34</v>
      </c>
      <c r="B2" s="8"/>
      <c r="C2" s="8"/>
      <c r="D2" s="8"/>
      <c r="E2" s="8"/>
      <c r="F2" s="8"/>
    </row>
    <row r="4" customFormat="false" ht="27.75" hidden="false" customHeight="true" outlineLevel="0" collapsed="false">
      <c r="A4" s="9" t="s">
        <v>35</v>
      </c>
      <c r="B4" s="9" t="s">
        <v>36</v>
      </c>
      <c r="C4" s="9" t="s">
        <v>37</v>
      </c>
      <c r="D4" s="9" t="s">
        <v>38</v>
      </c>
      <c r="E4" s="9" t="s">
        <v>39</v>
      </c>
      <c r="F4" s="9" t="s">
        <v>40</v>
      </c>
    </row>
    <row r="5" customFormat="false" ht="25.5" hidden="false" customHeight="true" outlineLevel="0" collapsed="false">
      <c r="A5" s="10" t="s">
        <v>41</v>
      </c>
      <c r="B5" s="10"/>
      <c r="C5" s="10"/>
      <c r="D5" s="10"/>
      <c r="E5" s="10"/>
      <c r="F5" s="10"/>
    </row>
    <row r="6" customFormat="false" ht="49.5" hidden="false" customHeight="true" outlineLevel="0" collapsed="false">
      <c r="A6" s="11" t="s">
        <v>42</v>
      </c>
      <c r="B6" s="12" t="n">
        <v>1</v>
      </c>
      <c r="C6" s="13" t="s">
        <v>43</v>
      </c>
      <c r="D6" s="14"/>
      <c r="E6" s="15" t="s">
        <v>44</v>
      </c>
      <c r="F6" s="16"/>
    </row>
    <row r="7" customFormat="false" ht="49.5" hidden="false" customHeight="true" outlineLevel="0" collapsed="false">
      <c r="A7" s="11" t="s">
        <v>42</v>
      </c>
      <c r="B7" s="12" t="n">
        <v>2</v>
      </c>
      <c r="C7" s="13" t="s">
        <v>45</v>
      </c>
      <c r="D7" s="14"/>
      <c r="E7" s="15" t="s">
        <v>46</v>
      </c>
      <c r="F7" s="16"/>
    </row>
    <row r="8" customFormat="false" ht="25.5" hidden="false" customHeight="true" outlineLevel="0" collapsed="false">
      <c r="A8" s="10" t="s">
        <v>47</v>
      </c>
      <c r="B8" s="10"/>
      <c r="C8" s="10"/>
      <c r="D8" s="10"/>
      <c r="E8" s="10"/>
      <c r="F8" s="10"/>
    </row>
    <row r="9" customFormat="false" ht="49.5" hidden="false" customHeight="true" outlineLevel="0" collapsed="false">
      <c r="A9" s="11" t="s">
        <v>48</v>
      </c>
      <c r="B9" s="12" t="n">
        <v>1</v>
      </c>
      <c r="C9" s="13" t="s">
        <v>49</v>
      </c>
      <c r="D9" s="14"/>
      <c r="E9" s="15" t="s">
        <v>50</v>
      </c>
      <c r="F9" s="16"/>
    </row>
    <row r="10" customFormat="false" ht="49.5" hidden="false" customHeight="true" outlineLevel="0" collapsed="false">
      <c r="A10" s="11" t="s">
        <v>48</v>
      </c>
      <c r="B10" s="12" t="n">
        <v>2</v>
      </c>
      <c r="C10" s="13" t="s">
        <v>51</v>
      </c>
      <c r="D10" s="14"/>
      <c r="E10" s="15" t="s">
        <v>52</v>
      </c>
      <c r="F10" s="16"/>
    </row>
    <row r="11" customFormat="false" ht="25.5" hidden="false" customHeight="true" outlineLevel="0" collapsed="false">
      <c r="A11" s="10" t="s">
        <v>53</v>
      </c>
      <c r="B11" s="10"/>
      <c r="C11" s="10"/>
      <c r="D11" s="10"/>
      <c r="E11" s="10"/>
      <c r="F11" s="10"/>
    </row>
    <row r="12" customFormat="false" ht="49.5" hidden="false" customHeight="true" outlineLevel="0" collapsed="false">
      <c r="A12" s="11" t="s">
        <v>54</v>
      </c>
      <c r="B12" s="12" t="n">
        <v>1</v>
      </c>
      <c r="C12" s="13" t="s">
        <v>55</v>
      </c>
      <c r="D12" s="14"/>
      <c r="E12" s="15" t="s">
        <v>56</v>
      </c>
      <c r="F12" s="16"/>
    </row>
    <row r="13" customFormat="false" ht="49.5" hidden="false" customHeight="true" outlineLevel="0" collapsed="false">
      <c r="A13" s="11" t="s">
        <v>54</v>
      </c>
      <c r="B13" s="12" t="n">
        <v>2</v>
      </c>
      <c r="C13" s="13" t="s">
        <v>57</v>
      </c>
      <c r="D13" s="14"/>
      <c r="E13" s="15" t="s">
        <v>58</v>
      </c>
      <c r="F13" s="16"/>
    </row>
    <row r="15" customFormat="false" ht="24" hidden="false" customHeight="true" outlineLevel="0" collapsed="false">
      <c r="A15" s="17" t="s">
        <v>59</v>
      </c>
      <c r="B15" s="17"/>
      <c r="C15" s="17"/>
      <c r="D15" s="17"/>
      <c r="E15" s="17"/>
      <c r="F15" s="17"/>
    </row>
    <row r="16" customFormat="false" ht="23.85" hidden="false" customHeight="false" outlineLevel="0" collapsed="false">
      <c r="A16" s="18" t="s">
        <v>35</v>
      </c>
      <c r="B16" s="18" t="s">
        <v>60</v>
      </c>
      <c r="C16" s="18" t="s">
        <v>61</v>
      </c>
      <c r="D16" s="18" t="s">
        <v>62</v>
      </c>
      <c r="E16" s="18" t="s">
        <v>63</v>
      </c>
    </row>
    <row r="17" customFormat="false" ht="15" hidden="false" customHeight="false" outlineLevel="0" collapsed="false">
      <c r="A17" s="19" t="s">
        <v>42</v>
      </c>
      <c r="B17" s="20" t="n">
        <v>2</v>
      </c>
      <c r="C17" s="21" t="n">
        <f aca="false">SUMPRODUCT((D6:D7&lt;&gt;"TDD")*IFERROR(D6:D7,0))</f>
        <v>0</v>
      </c>
      <c r="D17" s="21" t="n">
        <f aca="false">COUNTIF(D6:D7,"&lt;&gt;TDD")*10</f>
        <v>20</v>
      </c>
      <c r="E17" s="22" t="n">
        <f aca="false">IFERROR(C17/D17,0)</f>
        <v>0</v>
      </c>
    </row>
    <row r="18" customFormat="false" ht="15" hidden="false" customHeight="false" outlineLevel="0" collapsed="false">
      <c r="A18" s="19" t="s">
        <v>48</v>
      </c>
      <c r="B18" s="20" t="n">
        <v>2</v>
      </c>
      <c r="C18" s="21" t="n">
        <f aca="false">SUMPRODUCT((D9:D10&lt;&gt;"TDD")*IFERROR(D9:D10,0))</f>
        <v>0</v>
      </c>
      <c r="D18" s="21" t="n">
        <f aca="false">COUNTIF(D9:D10,"&lt;&gt;TDD")*10</f>
        <v>20</v>
      </c>
      <c r="E18" s="22" t="n">
        <f aca="false">IFERROR(C18/D18,0)</f>
        <v>0</v>
      </c>
    </row>
    <row r="19" customFormat="false" ht="15" hidden="false" customHeight="false" outlineLevel="0" collapsed="false">
      <c r="A19" s="19" t="s">
        <v>54</v>
      </c>
      <c r="B19" s="20" t="n">
        <v>2</v>
      </c>
      <c r="C19" s="21" t="n">
        <f aca="false">SUMPRODUCT((D12:D13&lt;&gt;"TDD")*IFERROR(D12:D13,0))</f>
        <v>0</v>
      </c>
      <c r="D19" s="21" t="n">
        <f aca="false">COUNTIF(D12:D13,"&lt;&gt;TDD")*10</f>
        <v>20</v>
      </c>
      <c r="E19" s="22" t="n">
        <f aca="false">IFERROR(C19/D19,0)</f>
        <v>0</v>
      </c>
    </row>
    <row r="20" customFormat="false" ht="15" hidden="false" customHeight="false" outlineLevel="0" collapsed="false">
      <c r="A20" s="23" t="s">
        <v>64</v>
      </c>
      <c r="B20" s="24" t="n">
        <f aca="false">SUM(B17:B19)</f>
        <v>6</v>
      </c>
      <c r="C20" s="23" t="n">
        <f aca="false">SUM(C17:C19)</f>
        <v>0</v>
      </c>
      <c r="D20" s="23" t="n">
        <f aca="false">SUM(D17:D19)</f>
        <v>60</v>
      </c>
      <c r="E20" s="25" t="n">
        <f aca="false">IFERROR(C20/D20,0)</f>
        <v>0</v>
      </c>
    </row>
  </sheetData>
  <mergeCells count="6">
    <mergeCell ref="A1:F1"/>
    <mergeCell ref="A2:F2"/>
    <mergeCell ref="A5:F5"/>
    <mergeCell ref="A8:F8"/>
    <mergeCell ref="A11:F11"/>
    <mergeCell ref="A15:F15"/>
  </mergeCells>
  <dataValidations count="1">
    <dataValidation allowBlank="true" error="Nilai harus 0, 5, 10, atau TDD." errorStyle="stop" errorTitle="Error" operator="between" showDropDown="false" showErrorMessage="true" showInputMessage="false" sqref="D6:D7 D9:D10 D12:D13" type="list">
      <formula1>"10,5,0,TDD"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8"/>
    <col collapsed="false" customWidth="true" hidden="false" outlineLevel="0" max="3" min="3" style="0" width="48"/>
    <col collapsed="false" customWidth="true" hidden="false" outlineLevel="0" max="4" min="4" style="0" width="12"/>
    <col collapsed="false" customWidth="true" hidden="false" outlineLevel="0" max="5" min="5" style="0" width="30"/>
    <col collapsed="false" customWidth="true" hidden="false" outlineLevel="0" max="6" min="6" style="0" width="28"/>
  </cols>
  <sheetData>
    <row r="1" customFormat="false" ht="24" hidden="false" customHeight="true" outlineLevel="0" collapsed="false">
      <c r="A1" s="7" t="s">
        <v>65</v>
      </c>
      <c r="B1" s="7"/>
      <c r="C1" s="7"/>
      <c r="D1" s="7"/>
      <c r="E1" s="7"/>
      <c r="F1" s="7"/>
    </row>
    <row r="2" customFormat="false" ht="27.75" hidden="false" customHeight="true" outlineLevel="0" collapsed="false">
      <c r="A2" s="8" t="s">
        <v>34</v>
      </c>
      <c r="B2" s="8"/>
      <c r="C2" s="8"/>
      <c r="D2" s="8"/>
      <c r="E2" s="8"/>
      <c r="F2" s="8"/>
    </row>
    <row r="4" customFormat="false" ht="27.75" hidden="false" customHeight="true" outlineLevel="0" collapsed="false">
      <c r="A4" s="9" t="s">
        <v>35</v>
      </c>
      <c r="B4" s="9" t="s">
        <v>36</v>
      </c>
      <c r="C4" s="9" t="s">
        <v>37</v>
      </c>
      <c r="D4" s="9" t="s">
        <v>38</v>
      </c>
      <c r="E4" s="9" t="s">
        <v>39</v>
      </c>
      <c r="F4" s="9" t="s">
        <v>40</v>
      </c>
    </row>
    <row r="5" customFormat="false" ht="25.5" hidden="false" customHeight="true" outlineLevel="0" collapsed="false">
      <c r="A5" s="10" t="s">
        <v>66</v>
      </c>
      <c r="B5" s="10"/>
      <c r="C5" s="10"/>
      <c r="D5" s="10"/>
      <c r="E5" s="10"/>
      <c r="F5" s="10"/>
    </row>
    <row r="6" customFormat="false" ht="49.5" hidden="false" customHeight="true" outlineLevel="0" collapsed="false">
      <c r="A6" s="11" t="s">
        <v>67</v>
      </c>
      <c r="B6" s="12" t="n">
        <v>1</v>
      </c>
      <c r="C6" s="13" t="s">
        <v>68</v>
      </c>
      <c r="D6" s="14"/>
      <c r="E6" s="15" t="s">
        <v>69</v>
      </c>
      <c r="F6" s="16"/>
    </row>
    <row r="7" customFormat="false" ht="49.5" hidden="false" customHeight="true" outlineLevel="0" collapsed="false">
      <c r="A7" s="11" t="s">
        <v>67</v>
      </c>
      <c r="B7" s="12" t="n">
        <v>2</v>
      </c>
      <c r="C7" s="13" t="s">
        <v>70</v>
      </c>
      <c r="D7" s="14"/>
      <c r="E7" s="15" t="s">
        <v>71</v>
      </c>
      <c r="F7" s="16"/>
    </row>
    <row r="8" customFormat="false" ht="25.5" hidden="false" customHeight="true" outlineLevel="0" collapsed="false">
      <c r="A8" s="10" t="s">
        <v>72</v>
      </c>
      <c r="B8" s="10"/>
      <c r="C8" s="10"/>
      <c r="D8" s="10"/>
      <c r="E8" s="10"/>
      <c r="F8" s="10"/>
    </row>
    <row r="9" customFormat="false" ht="49.5" hidden="false" customHeight="true" outlineLevel="0" collapsed="false">
      <c r="A9" s="11" t="s">
        <v>73</v>
      </c>
      <c r="B9" s="12" t="n">
        <v>1</v>
      </c>
      <c r="C9" s="13" t="s">
        <v>74</v>
      </c>
      <c r="D9" s="14"/>
      <c r="E9" s="15" t="s">
        <v>75</v>
      </c>
      <c r="F9" s="16"/>
    </row>
    <row r="10" customFormat="false" ht="49.5" hidden="false" customHeight="true" outlineLevel="0" collapsed="false">
      <c r="A10" s="11" t="s">
        <v>73</v>
      </c>
      <c r="B10" s="12" t="n">
        <v>2</v>
      </c>
      <c r="C10" s="13" t="s">
        <v>76</v>
      </c>
      <c r="D10" s="14"/>
      <c r="E10" s="15" t="s">
        <v>77</v>
      </c>
      <c r="F10" s="16"/>
    </row>
    <row r="11" customFormat="false" ht="49.5" hidden="false" customHeight="true" outlineLevel="0" collapsed="false">
      <c r="A11" s="11" t="s">
        <v>73</v>
      </c>
      <c r="B11" s="12" t="n">
        <v>3</v>
      </c>
      <c r="C11" s="13" t="s">
        <v>78</v>
      </c>
      <c r="D11" s="14"/>
      <c r="E11" s="15" t="s">
        <v>79</v>
      </c>
      <c r="F11" s="16"/>
    </row>
    <row r="12" customFormat="false" ht="25.5" hidden="false" customHeight="true" outlineLevel="0" collapsed="false">
      <c r="A12" s="10" t="s">
        <v>80</v>
      </c>
      <c r="B12" s="10"/>
      <c r="C12" s="10"/>
      <c r="D12" s="10"/>
      <c r="E12" s="10"/>
      <c r="F12" s="10"/>
    </row>
    <row r="13" customFormat="false" ht="49.5" hidden="false" customHeight="true" outlineLevel="0" collapsed="false">
      <c r="A13" s="11" t="s">
        <v>81</v>
      </c>
      <c r="B13" s="12" t="n">
        <v>1</v>
      </c>
      <c r="C13" s="13" t="s">
        <v>82</v>
      </c>
      <c r="D13" s="14"/>
      <c r="E13" s="15" t="s">
        <v>83</v>
      </c>
      <c r="F13" s="16"/>
    </row>
    <row r="14" customFormat="false" ht="49.5" hidden="false" customHeight="true" outlineLevel="0" collapsed="false">
      <c r="A14" s="11" t="s">
        <v>81</v>
      </c>
      <c r="B14" s="12" t="n">
        <v>2</v>
      </c>
      <c r="C14" s="13" t="s">
        <v>84</v>
      </c>
      <c r="D14" s="14"/>
      <c r="E14" s="15" t="s">
        <v>85</v>
      </c>
      <c r="F14" s="16"/>
    </row>
    <row r="15" customFormat="false" ht="25.5" hidden="false" customHeight="true" outlineLevel="0" collapsed="false">
      <c r="A15" s="10" t="s">
        <v>86</v>
      </c>
      <c r="B15" s="10"/>
      <c r="C15" s="10"/>
      <c r="D15" s="10"/>
      <c r="E15" s="10"/>
      <c r="F15" s="10"/>
    </row>
    <row r="16" customFormat="false" ht="49.5" hidden="false" customHeight="true" outlineLevel="0" collapsed="false">
      <c r="A16" s="11" t="s">
        <v>87</v>
      </c>
      <c r="B16" s="12" t="n">
        <v>1</v>
      </c>
      <c r="C16" s="13" t="s">
        <v>88</v>
      </c>
      <c r="D16" s="14"/>
      <c r="E16" s="15" t="s">
        <v>89</v>
      </c>
      <c r="F16" s="16"/>
    </row>
    <row r="17" customFormat="false" ht="49.5" hidden="false" customHeight="true" outlineLevel="0" collapsed="false">
      <c r="A17" s="11" t="s">
        <v>87</v>
      </c>
      <c r="B17" s="12" t="n">
        <v>2</v>
      </c>
      <c r="C17" s="13" t="s">
        <v>90</v>
      </c>
      <c r="D17" s="14"/>
      <c r="E17" s="15" t="s">
        <v>91</v>
      </c>
      <c r="F17" s="16"/>
    </row>
    <row r="18" customFormat="false" ht="49.5" hidden="false" customHeight="true" outlineLevel="0" collapsed="false">
      <c r="A18" s="11" t="s">
        <v>87</v>
      </c>
      <c r="B18" s="12" t="n">
        <v>3</v>
      </c>
      <c r="C18" s="13" t="s">
        <v>92</v>
      </c>
      <c r="D18" s="14"/>
      <c r="E18" s="15" t="s">
        <v>93</v>
      </c>
      <c r="F18" s="16"/>
    </row>
    <row r="19" customFormat="false" ht="49.5" hidden="false" customHeight="true" outlineLevel="0" collapsed="false">
      <c r="A19" s="11" t="s">
        <v>87</v>
      </c>
      <c r="B19" s="12" t="n">
        <v>4</v>
      </c>
      <c r="C19" s="13" t="s">
        <v>94</v>
      </c>
      <c r="D19" s="14"/>
      <c r="E19" s="15" t="s">
        <v>95</v>
      </c>
      <c r="F19" s="16"/>
    </row>
    <row r="20" customFormat="false" ht="25.5" hidden="false" customHeight="true" outlineLevel="0" collapsed="false">
      <c r="A20" s="10" t="s">
        <v>96</v>
      </c>
      <c r="B20" s="10"/>
      <c r="C20" s="10"/>
      <c r="D20" s="10"/>
      <c r="E20" s="10"/>
      <c r="F20" s="10"/>
    </row>
    <row r="21" customFormat="false" ht="49.5" hidden="false" customHeight="true" outlineLevel="0" collapsed="false">
      <c r="A21" s="11" t="s">
        <v>97</v>
      </c>
      <c r="B21" s="12" t="n">
        <v>1</v>
      </c>
      <c r="C21" s="13" t="s">
        <v>98</v>
      </c>
      <c r="D21" s="14"/>
      <c r="E21" s="15" t="s">
        <v>99</v>
      </c>
      <c r="F21" s="16"/>
    </row>
    <row r="22" customFormat="false" ht="49.5" hidden="false" customHeight="true" outlineLevel="0" collapsed="false">
      <c r="A22" s="11" t="s">
        <v>97</v>
      </c>
      <c r="B22" s="12" t="n">
        <v>2</v>
      </c>
      <c r="C22" s="13" t="s">
        <v>100</v>
      </c>
      <c r="D22" s="14"/>
      <c r="E22" s="15" t="s">
        <v>101</v>
      </c>
      <c r="F22" s="16"/>
    </row>
    <row r="23" customFormat="false" ht="25.5" hidden="false" customHeight="true" outlineLevel="0" collapsed="false">
      <c r="A23" s="10" t="s">
        <v>102</v>
      </c>
      <c r="B23" s="10"/>
      <c r="C23" s="10"/>
      <c r="D23" s="10"/>
      <c r="E23" s="10"/>
      <c r="F23" s="10"/>
    </row>
    <row r="24" customFormat="false" ht="49.5" hidden="false" customHeight="true" outlineLevel="0" collapsed="false">
      <c r="A24" s="11" t="s">
        <v>103</v>
      </c>
      <c r="B24" s="12" t="n">
        <v>1</v>
      </c>
      <c r="C24" s="13" t="s">
        <v>104</v>
      </c>
      <c r="D24" s="14"/>
      <c r="E24" s="15" t="s">
        <v>105</v>
      </c>
      <c r="F24" s="16"/>
    </row>
    <row r="25" customFormat="false" ht="49.5" hidden="false" customHeight="true" outlineLevel="0" collapsed="false">
      <c r="A25" s="11" t="s">
        <v>103</v>
      </c>
      <c r="B25" s="12" t="n">
        <v>2</v>
      </c>
      <c r="C25" s="13" t="s">
        <v>106</v>
      </c>
      <c r="D25" s="14"/>
      <c r="E25" s="15" t="s">
        <v>107</v>
      </c>
      <c r="F25" s="16"/>
    </row>
    <row r="26" customFormat="false" ht="25.5" hidden="false" customHeight="true" outlineLevel="0" collapsed="false">
      <c r="A26" s="10" t="s">
        <v>108</v>
      </c>
      <c r="B26" s="10"/>
      <c r="C26" s="10"/>
      <c r="D26" s="10"/>
      <c r="E26" s="10"/>
      <c r="F26" s="10"/>
    </row>
    <row r="27" customFormat="false" ht="49.5" hidden="false" customHeight="true" outlineLevel="0" collapsed="false">
      <c r="A27" s="11" t="s">
        <v>109</v>
      </c>
      <c r="B27" s="12" t="n">
        <v>1</v>
      </c>
      <c r="C27" s="13" t="s">
        <v>110</v>
      </c>
      <c r="D27" s="14"/>
      <c r="E27" s="15" t="s">
        <v>111</v>
      </c>
      <c r="F27" s="16"/>
    </row>
    <row r="28" customFormat="false" ht="49.5" hidden="false" customHeight="true" outlineLevel="0" collapsed="false">
      <c r="A28" s="11" t="s">
        <v>109</v>
      </c>
      <c r="B28" s="12" t="n">
        <v>2</v>
      </c>
      <c r="C28" s="13" t="s">
        <v>112</v>
      </c>
      <c r="D28" s="14"/>
      <c r="E28" s="15" t="s">
        <v>113</v>
      </c>
      <c r="F28" s="16"/>
    </row>
    <row r="29" customFormat="false" ht="25.5" hidden="false" customHeight="true" outlineLevel="0" collapsed="false">
      <c r="A29" s="10" t="s">
        <v>114</v>
      </c>
      <c r="B29" s="10"/>
      <c r="C29" s="10"/>
      <c r="D29" s="10"/>
      <c r="E29" s="10"/>
      <c r="F29" s="10"/>
    </row>
    <row r="30" customFormat="false" ht="49.5" hidden="false" customHeight="true" outlineLevel="0" collapsed="false">
      <c r="A30" s="11" t="s">
        <v>115</v>
      </c>
      <c r="B30" s="12" t="n">
        <v>1</v>
      </c>
      <c r="C30" s="13" t="s">
        <v>116</v>
      </c>
      <c r="D30" s="14"/>
      <c r="E30" s="15" t="s">
        <v>117</v>
      </c>
      <c r="F30" s="16"/>
    </row>
    <row r="31" customFormat="false" ht="49.5" hidden="false" customHeight="true" outlineLevel="0" collapsed="false">
      <c r="A31" s="11" t="s">
        <v>115</v>
      </c>
      <c r="B31" s="12" t="n">
        <v>2</v>
      </c>
      <c r="C31" s="13" t="s">
        <v>118</v>
      </c>
      <c r="D31" s="14"/>
      <c r="E31" s="15" t="s">
        <v>119</v>
      </c>
      <c r="F31" s="16"/>
    </row>
    <row r="32" customFormat="false" ht="49.5" hidden="false" customHeight="true" outlineLevel="0" collapsed="false">
      <c r="A32" s="11" t="s">
        <v>115</v>
      </c>
      <c r="B32" s="12" t="n">
        <v>3</v>
      </c>
      <c r="C32" s="13" t="s">
        <v>120</v>
      </c>
      <c r="D32" s="14"/>
      <c r="E32" s="15" t="s">
        <v>121</v>
      </c>
      <c r="F32" s="16"/>
    </row>
    <row r="33" customFormat="false" ht="25.5" hidden="false" customHeight="true" outlineLevel="0" collapsed="false">
      <c r="A33" s="10" t="s">
        <v>122</v>
      </c>
      <c r="B33" s="10"/>
      <c r="C33" s="10"/>
      <c r="D33" s="10"/>
      <c r="E33" s="10"/>
      <c r="F33" s="10"/>
    </row>
    <row r="34" customFormat="false" ht="49.5" hidden="false" customHeight="true" outlineLevel="0" collapsed="false">
      <c r="A34" s="11" t="s">
        <v>123</v>
      </c>
      <c r="B34" s="12" t="n">
        <v>1</v>
      </c>
      <c r="C34" s="13" t="s">
        <v>124</v>
      </c>
      <c r="D34" s="14"/>
      <c r="E34" s="15" t="s">
        <v>125</v>
      </c>
      <c r="F34" s="16"/>
    </row>
    <row r="35" customFormat="false" ht="49.5" hidden="false" customHeight="true" outlineLevel="0" collapsed="false">
      <c r="A35" s="11" t="s">
        <v>123</v>
      </c>
      <c r="B35" s="12" t="n">
        <v>2</v>
      </c>
      <c r="C35" s="13" t="s">
        <v>126</v>
      </c>
      <c r="D35" s="14"/>
      <c r="E35" s="15" t="s">
        <v>127</v>
      </c>
      <c r="F35" s="16"/>
    </row>
    <row r="36" customFormat="false" ht="25.5" hidden="false" customHeight="true" outlineLevel="0" collapsed="false">
      <c r="A36" s="10" t="s">
        <v>128</v>
      </c>
      <c r="B36" s="10"/>
      <c r="C36" s="10"/>
      <c r="D36" s="10"/>
      <c r="E36" s="10"/>
      <c r="F36" s="10"/>
    </row>
    <row r="37" customFormat="false" ht="49.5" hidden="false" customHeight="true" outlineLevel="0" collapsed="false">
      <c r="A37" s="11" t="s">
        <v>129</v>
      </c>
      <c r="B37" s="12" t="n">
        <v>1</v>
      </c>
      <c r="C37" s="13" t="s">
        <v>130</v>
      </c>
      <c r="D37" s="14"/>
      <c r="E37" s="15" t="s">
        <v>131</v>
      </c>
      <c r="F37" s="16"/>
    </row>
    <row r="38" customFormat="false" ht="49.5" hidden="false" customHeight="true" outlineLevel="0" collapsed="false">
      <c r="A38" s="11" t="s">
        <v>129</v>
      </c>
      <c r="B38" s="12" t="n">
        <v>2</v>
      </c>
      <c r="C38" s="13" t="s">
        <v>132</v>
      </c>
      <c r="D38" s="14"/>
      <c r="E38" s="15" t="s">
        <v>133</v>
      </c>
      <c r="F38" s="16"/>
    </row>
    <row r="39" customFormat="false" ht="25.5" hidden="false" customHeight="true" outlineLevel="0" collapsed="false">
      <c r="A39" s="10" t="s">
        <v>134</v>
      </c>
      <c r="B39" s="10"/>
      <c r="C39" s="10"/>
      <c r="D39" s="10"/>
      <c r="E39" s="10"/>
      <c r="F39" s="10"/>
    </row>
    <row r="40" customFormat="false" ht="49.5" hidden="false" customHeight="true" outlineLevel="0" collapsed="false">
      <c r="A40" s="11" t="s">
        <v>135</v>
      </c>
      <c r="B40" s="12" t="n">
        <v>1</v>
      </c>
      <c r="C40" s="13" t="s">
        <v>136</v>
      </c>
      <c r="D40" s="14"/>
      <c r="E40" s="15" t="s">
        <v>137</v>
      </c>
      <c r="F40" s="16"/>
    </row>
    <row r="41" customFormat="false" ht="49.5" hidden="false" customHeight="true" outlineLevel="0" collapsed="false">
      <c r="A41" s="11" t="s">
        <v>135</v>
      </c>
      <c r="B41" s="12" t="n">
        <v>2</v>
      </c>
      <c r="C41" s="13" t="s">
        <v>138</v>
      </c>
      <c r="D41" s="14"/>
      <c r="E41" s="15" t="s">
        <v>139</v>
      </c>
      <c r="F41" s="16"/>
    </row>
    <row r="42" customFormat="false" ht="49.5" hidden="false" customHeight="true" outlineLevel="0" collapsed="false">
      <c r="A42" s="11" t="s">
        <v>135</v>
      </c>
      <c r="B42" s="12" t="n">
        <v>3</v>
      </c>
      <c r="C42" s="13" t="s">
        <v>140</v>
      </c>
      <c r="D42" s="14"/>
      <c r="E42" s="15" t="s">
        <v>141</v>
      </c>
      <c r="F42" s="16"/>
    </row>
    <row r="43" customFormat="false" ht="25.5" hidden="false" customHeight="true" outlineLevel="0" collapsed="false">
      <c r="A43" s="10" t="s">
        <v>142</v>
      </c>
      <c r="B43" s="10"/>
      <c r="C43" s="10"/>
      <c r="D43" s="10"/>
      <c r="E43" s="10"/>
      <c r="F43" s="10"/>
    </row>
    <row r="44" customFormat="false" ht="49.5" hidden="false" customHeight="true" outlineLevel="0" collapsed="false">
      <c r="A44" s="11" t="s">
        <v>143</v>
      </c>
      <c r="B44" s="12" t="n">
        <v>1</v>
      </c>
      <c r="C44" s="13" t="s">
        <v>144</v>
      </c>
      <c r="D44" s="14"/>
      <c r="E44" s="15" t="s">
        <v>145</v>
      </c>
      <c r="F44" s="16"/>
    </row>
    <row r="45" customFormat="false" ht="49.5" hidden="false" customHeight="true" outlineLevel="0" collapsed="false">
      <c r="A45" s="11" t="s">
        <v>143</v>
      </c>
      <c r="B45" s="12" t="n">
        <v>2</v>
      </c>
      <c r="C45" s="13" t="s">
        <v>146</v>
      </c>
      <c r="D45" s="14"/>
      <c r="E45" s="15" t="s">
        <v>147</v>
      </c>
      <c r="F45" s="16"/>
    </row>
    <row r="46" customFormat="false" ht="49.5" hidden="false" customHeight="true" outlineLevel="0" collapsed="false">
      <c r="A46" s="11" t="s">
        <v>143</v>
      </c>
      <c r="B46" s="12" t="n">
        <v>3</v>
      </c>
      <c r="C46" s="13" t="s">
        <v>148</v>
      </c>
      <c r="D46" s="14"/>
      <c r="E46" s="15" t="s">
        <v>149</v>
      </c>
      <c r="F46" s="16"/>
    </row>
    <row r="47" customFormat="false" ht="49.5" hidden="false" customHeight="true" outlineLevel="0" collapsed="false">
      <c r="A47" s="11" t="s">
        <v>143</v>
      </c>
      <c r="B47" s="12" t="n">
        <v>4</v>
      </c>
      <c r="C47" s="13" t="s">
        <v>150</v>
      </c>
      <c r="D47" s="14"/>
      <c r="E47" s="15" t="s">
        <v>151</v>
      </c>
      <c r="F47" s="16"/>
    </row>
    <row r="48" customFormat="false" ht="25.5" hidden="false" customHeight="true" outlineLevel="0" collapsed="false">
      <c r="A48" s="10" t="s">
        <v>152</v>
      </c>
      <c r="B48" s="10"/>
      <c r="C48" s="10"/>
      <c r="D48" s="10"/>
      <c r="E48" s="10"/>
      <c r="F48" s="10"/>
    </row>
    <row r="49" customFormat="false" ht="49.5" hidden="false" customHeight="true" outlineLevel="0" collapsed="false">
      <c r="A49" s="11" t="s">
        <v>153</v>
      </c>
      <c r="B49" s="12" t="n">
        <v>1</v>
      </c>
      <c r="C49" s="13" t="s">
        <v>154</v>
      </c>
      <c r="D49" s="14"/>
      <c r="E49" s="15" t="s">
        <v>155</v>
      </c>
      <c r="F49" s="16"/>
    </row>
    <row r="50" customFormat="false" ht="49.5" hidden="false" customHeight="true" outlineLevel="0" collapsed="false">
      <c r="A50" s="11" t="s">
        <v>153</v>
      </c>
      <c r="B50" s="12" t="n">
        <v>2</v>
      </c>
      <c r="C50" s="13" t="s">
        <v>156</v>
      </c>
      <c r="D50" s="14"/>
      <c r="E50" s="15" t="s">
        <v>157</v>
      </c>
      <c r="F50" s="16"/>
    </row>
    <row r="51" customFormat="false" ht="25.5" hidden="false" customHeight="true" outlineLevel="0" collapsed="false">
      <c r="A51" s="10" t="s">
        <v>158</v>
      </c>
      <c r="B51" s="10"/>
      <c r="C51" s="10"/>
      <c r="D51" s="10"/>
      <c r="E51" s="10"/>
      <c r="F51" s="10"/>
    </row>
    <row r="52" customFormat="false" ht="49.5" hidden="false" customHeight="true" outlineLevel="0" collapsed="false">
      <c r="A52" s="11" t="s">
        <v>159</v>
      </c>
      <c r="B52" s="12" t="n">
        <v>1</v>
      </c>
      <c r="C52" s="13" t="s">
        <v>160</v>
      </c>
      <c r="D52" s="14"/>
      <c r="E52" s="15" t="s">
        <v>161</v>
      </c>
      <c r="F52" s="16"/>
    </row>
    <row r="53" customFormat="false" ht="49.5" hidden="false" customHeight="true" outlineLevel="0" collapsed="false">
      <c r="A53" s="11" t="s">
        <v>159</v>
      </c>
      <c r="B53" s="12" t="n">
        <v>2</v>
      </c>
      <c r="C53" s="13" t="s">
        <v>162</v>
      </c>
      <c r="D53" s="14"/>
      <c r="E53" s="15" t="s">
        <v>163</v>
      </c>
      <c r="F53" s="16"/>
    </row>
    <row r="54" customFormat="false" ht="25.5" hidden="false" customHeight="true" outlineLevel="0" collapsed="false">
      <c r="A54" s="10" t="s">
        <v>164</v>
      </c>
      <c r="B54" s="10"/>
      <c r="C54" s="10"/>
      <c r="D54" s="10"/>
      <c r="E54" s="10"/>
      <c r="F54" s="10"/>
    </row>
    <row r="55" customFormat="false" ht="49.5" hidden="false" customHeight="true" outlineLevel="0" collapsed="false">
      <c r="A55" s="11" t="s">
        <v>165</v>
      </c>
      <c r="B55" s="12" t="n">
        <v>1</v>
      </c>
      <c r="C55" s="13" t="s">
        <v>166</v>
      </c>
      <c r="D55" s="14"/>
      <c r="E55" s="15" t="s">
        <v>167</v>
      </c>
      <c r="F55" s="16"/>
    </row>
    <row r="56" customFormat="false" ht="49.5" hidden="false" customHeight="true" outlineLevel="0" collapsed="false">
      <c r="A56" s="11" t="s">
        <v>165</v>
      </c>
      <c r="B56" s="12" t="n">
        <v>2</v>
      </c>
      <c r="C56" s="13" t="s">
        <v>168</v>
      </c>
      <c r="D56" s="14"/>
      <c r="E56" s="15" t="s">
        <v>169</v>
      </c>
      <c r="F56" s="16"/>
    </row>
    <row r="57" customFormat="false" ht="49.5" hidden="false" customHeight="true" outlineLevel="0" collapsed="false">
      <c r="A57" s="11" t="s">
        <v>165</v>
      </c>
      <c r="B57" s="12" t="n">
        <v>3</v>
      </c>
      <c r="C57" s="13" t="s">
        <v>170</v>
      </c>
      <c r="D57" s="14"/>
      <c r="E57" s="15" t="s">
        <v>171</v>
      </c>
      <c r="F57" s="16"/>
    </row>
    <row r="58" customFormat="false" ht="25.5" hidden="false" customHeight="true" outlineLevel="0" collapsed="false">
      <c r="A58" s="10" t="s">
        <v>172</v>
      </c>
      <c r="B58" s="10"/>
      <c r="C58" s="10"/>
      <c r="D58" s="10"/>
      <c r="E58" s="10"/>
      <c r="F58" s="10"/>
    </row>
    <row r="59" customFormat="false" ht="49.5" hidden="false" customHeight="true" outlineLevel="0" collapsed="false">
      <c r="A59" s="11" t="s">
        <v>173</v>
      </c>
      <c r="B59" s="12" t="n">
        <v>1</v>
      </c>
      <c r="C59" s="13" t="s">
        <v>174</v>
      </c>
      <c r="D59" s="14"/>
      <c r="E59" s="15" t="s">
        <v>175</v>
      </c>
      <c r="F59" s="16"/>
    </row>
    <row r="60" customFormat="false" ht="49.5" hidden="false" customHeight="true" outlineLevel="0" collapsed="false">
      <c r="A60" s="11" t="s">
        <v>173</v>
      </c>
      <c r="B60" s="12" t="n">
        <v>2</v>
      </c>
      <c r="C60" s="13" t="s">
        <v>176</v>
      </c>
      <c r="D60" s="14"/>
      <c r="E60" s="15" t="s">
        <v>177</v>
      </c>
      <c r="F60" s="16"/>
    </row>
    <row r="61" customFormat="false" ht="49.5" hidden="false" customHeight="true" outlineLevel="0" collapsed="false">
      <c r="A61" s="11" t="s">
        <v>173</v>
      </c>
      <c r="B61" s="12" t="n">
        <v>3</v>
      </c>
      <c r="C61" s="13" t="s">
        <v>178</v>
      </c>
      <c r="D61" s="14"/>
      <c r="E61" s="15" t="s">
        <v>179</v>
      </c>
      <c r="F61" s="16"/>
    </row>
    <row r="62" customFormat="false" ht="49.5" hidden="false" customHeight="true" outlineLevel="0" collapsed="false">
      <c r="A62" s="11" t="s">
        <v>173</v>
      </c>
      <c r="B62" s="12" t="n">
        <v>4</v>
      </c>
      <c r="C62" s="13" t="s">
        <v>180</v>
      </c>
      <c r="D62" s="14"/>
      <c r="E62" s="15" t="s">
        <v>181</v>
      </c>
      <c r="F62" s="16"/>
    </row>
    <row r="63" customFormat="false" ht="25.5" hidden="false" customHeight="true" outlineLevel="0" collapsed="false">
      <c r="A63" s="10" t="s">
        <v>182</v>
      </c>
      <c r="B63" s="10"/>
      <c r="C63" s="10"/>
      <c r="D63" s="10"/>
      <c r="E63" s="10"/>
      <c r="F63" s="10"/>
    </row>
    <row r="64" customFormat="false" ht="49.5" hidden="false" customHeight="true" outlineLevel="0" collapsed="false">
      <c r="A64" s="11" t="s">
        <v>183</v>
      </c>
      <c r="B64" s="12" t="n">
        <v>1</v>
      </c>
      <c r="C64" s="13" t="s">
        <v>184</v>
      </c>
      <c r="D64" s="14"/>
      <c r="E64" s="15" t="s">
        <v>185</v>
      </c>
      <c r="F64" s="16"/>
    </row>
    <row r="65" customFormat="false" ht="49.5" hidden="false" customHeight="true" outlineLevel="0" collapsed="false">
      <c r="A65" s="11" t="s">
        <v>183</v>
      </c>
      <c r="B65" s="12" t="n">
        <v>2</v>
      </c>
      <c r="C65" s="13" t="s">
        <v>186</v>
      </c>
      <c r="D65" s="14"/>
      <c r="E65" s="15" t="s">
        <v>187</v>
      </c>
      <c r="F65" s="16"/>
    </row>
    <row r="66" customFormat="false" ht="49.5" hidden="false" customHeight="true" outlineLevel="0" collapsed="false">
      <c r="A66" s="11" t="s">
        <v>183</v>
      </c>
      <c r="B66" s="12" t="n">
        <v>3</v>
      </c>
      <c r="C66" s="13" t="s">
        <v>188</v>
      </c>
      <c r="D66" s="14"/>
      <c r="E66" s="15" t="s">
        <v>189</v>
      </c>
      <c r="F66" s="16"/>
    </row>
    <row r="67" customFormat="false" ht="25.5" hidden="false" customHeight="true" outlineLevel="0" collapsed="false">
      <c r="A67" s="10" t="s">
        <v>190</v>
      </c>
      <c r="B67" s="10"/>
      <c r="C67" s="10"/>
      <c r="D67" s="10"/>
      <c r="E67" s="10"/>
      <c r="F67" s="10"/>
    </row>
    <row r="68" customFormat="false" ht="49.5" hidden="false" customHeight="true" outlineLevel="0" collapsed="false">
      <c r="A68" s="11" t="s">
        <v>191</v>
      </c>
      <c r="B68" s="12" t="n">
        <v>1</v>
      </c>
      <c r="C68" s="13" t="s">
        <v>192</v>
      </c>
      <c r="D68" s="14"/>
      <c r="E68" s="15" t="s">
        <v>193</v>
      </c>
      <c r="F68" s="16"/>
    </row>
    <row r="69" customFormat="false" ht="49.5" hidden="false" customHeight="true" outlineLevel="0" collapsed="false">
      <c r="A69" s="11" t="s">
        <v>191</v>
      </c>
      <c r="B69" s="12" t="n">
        <v>2</v>
      </c>
      <c r="C69" s="13" t="s">
        <v>194</v>
      </c>
      <c r="D69" s="14"/>
      <c r="E69" s="15" t="s">
        <v>195</v>
      </c>
      <c r="F69" s="16"/>
    </row>
    <row r="70" customFormat="false" ht="49.5" hidden="false" customHeight="true" outlineLevel="0" collapsed="false">
      <c r="A70" s="11" t="s">
        <v>191</v>
      </c>
      <c r="B70" s="12" t="n">
        <v>3</v>
      </c>
      <c r="C70" s="13" t="s">
        <v>196</v>
      </c>
      <c r="D70" s="14"/>
      <c r="E70" s="15" t="s">
        <v>197</v>
      </c>
      <c r="F70" s="16"/>
    </row>
    <row r="71" customFormat="false" ht="49.5" hidden="false" customHeight="true" outlineLevel="0" collapsed="false">
      <c r="A71" s="11" t="s">
        <v>191</v>
      </c>
      <c r="B71" s="12" t="n">
        <v>4</v>
      </c>
      <c r="C71" s="13" t="s">
        <v>198</v>
      </c>
      <c r="D71" s="14"/>
      <c r="E71" s="15" t="s">
        <v>199</v>
      </c>
      <c r="F71" s="16"/>
    </row>
    <row r="72" customFormat="false" ht="49.5" hidden="false" customHeight="true" outlineLevel="0" collapsed="false">
      <c r="A72" s="11" t="s">
        <v>191</v>
      </c>
      <c r="B72" s="12" t="n">
        <v>5</v>
      </c>
      <c r="C72" s="13" t="s">
        <v>200</v>
      </c>
      <c r="D72" s="14"/>
      <c r="E72" s="15" t="s">
        <v>201</v>
      </c>
      <c r="F72" s="16"/>
    </row>
    <row r="73" customFormat="false" ht="25.5" hidden="false" customHeight="true" outlineLevel="0" collapsed="false">
      <c r="A73" s="10" t="s">
        <v>202</v>
      </c>
      <c r="B73" s="10"/>
      <c r="C73" s="10"/>
      <c r="D73" s="10"/>
      <c r="E73" s="10"/>
      <c r="F73" s="10"/>
    </row>
    <row r="74" customFormat="false" ht="49.5" hidden="false" customHeight="true" outlineLevel="0" collapsed="false">
      <c r="A74" s="11" t="s">
        <v>203</v>
      </c>
      <c r="B74" s="12" t="n">
        <v>1</v>
      </c>
      <c r="C74" s="13" t="s">
        <v>204</v>
      </c>
      <c r="D74" s="14"/>
      <c r="E74" s="15" t="s">
        <v>205</v>
      </c>
      <c r="F74" s="16"/>
    </row>
    <row r="75" customFormat="false" ht="49.5" hidden="false" customHeight="true" outlineLevel="0" collapsed="false">
      <c r="A75" s="11" t="s">
        <v>203</v>
      </c>
      <c r="B75" s="12" t="n">
        <v>2</v>
      </c>
      <c r="C75" s="13" t="s">
        <v>206</v>
      </c>
      <c r="D75" s="14"/>
      <c r="E75" s="15" t="s">
        <v>207</v>
      </c>
      <c r="F75" s="16"/>
    </row>
    <row r="76" customFormat="false" ht="49.5" hidden="false" customHeight="true" outlineLevel="0" collapsed="false">
      <c r="A76" s="11" t="s">
        <v>203</v>
      </c>
      <c r="B76" s="12" t="n">
        <v>3</v>
      </c>
      <c r="C76" s="13" t="s">
        <v>208</v>
      </c>
      <c r="D76" s="14"/>
      <c r="E76" s="15" t="s">
        <v>209</v>
      </c>
      <c r="F76" s="16"/>
    </row>
    <row r="77" customFormat="false" ht="49.5" hidden="false" customHeight="true" outlineLevel="0" collapsed="false">
      <c r="A77" s="11" t="s">
        <v>203</v>
      </c>
      <c r="B77" s="12" t="n">
        <v>4</v>
      </c>
      <c r="C77" s="13" t="s">
        <v>210</v>
      </c>
      <c r="D77" s="14"/>
      <c r="E77" s="15" t="s">
        <v>211</v>
      </c>
      <c r="F77" s="16"/>
    </row>
    <row r="78" customFormat="false" ht="49.5" hidden="false" customHeight="true" outlineLevel="0" collapsed="false">
      <c r="A78" s="11" t="s">
        <v>203</v>
      </c>
      <c r="B78" s="12" t="n">
        <v>5</v>
      </c>
      <c r="C78" s="13" t="s">
        <v>212</v>
      </c>
      <c r="D78" s="14"/>
      <c r="E78" s="15" t="s">
        <v>213</v>
      </c>
      <c r="F78" s="16"/>
    </row>
    <row r="80" customFormat="false" ht="24" hidden="false" customHeight="true" outlineLevel="0" collapsed="false">
      <c r="A80" s="17" t="s">
        <v>214</v>
      </c>
      <c r="B80" s="17"/>
      <c r="C80" s="17"/>
      <c r="D80" s="17"/>
      <c r="E80" s="17"/>
      <c r="F80" s="17"/>
    </row>
    <row r="81" customFormat="false" ht="23.85" hidden="false" customHeight="false" outlineLevel="0" collapsed="false">
      <c r="A81" s="18" t="s">
        <v>35</v>
      </c>
      <c r="B81" s="18" t="s">
        <v>60</v>
      </c>
      <c r="C81" s="18" t="s">
        <v>61</v>
      </c>
      <c r="D81" s="18" t="s">
        <v>62</v>
      </c>
      <c r="E81" s="18" t="s">
        <v>63</v>
      </c>
    </row>
    <row r="82" customFormat="false" ht="15" hidden="false" customHeight="false" outlineLevel="0" collapsed="false">
      <c r="A82" s="19" t="s">
        <v>67</v>
      </c>
      <c r="B82" s="20" t="n">
        <v>2</v>
      </c>
      <c r="C82" s="21" t="n">
        <f aca="false">SUMPRODUCT((D6:D7&lt;&gt;"TDD")*IFERROR(D6:D7,0))</f>
        <v>0</v>
      </c>
      <c r="D82" s="21" t="n">
        <f aca="false">COUNTIF(D6:D7,"&lt;&gt;TDD")*10</f>
        <v>20</v>
      </c>
      <c r="E82" s="22" t="n">
        <f aca="false">IFERROR(C82/D82,0)</f>
        <v>0</v>
      </c>
    </row>
    <row r="83" customFormat="false" ht="22.35" hidden="false" customHeight="false" outlineLevel="0" collapsed="false">
      <c r="A83" s="19" t="s">
        <v>73</v>
      </c>
      <c r="B83" s="20" t="n">
        <v>3</v>
      </c>
      <c r="C83" s="21" t="n">
        <f aca="false">SUMPRODUCT((D9:D11&lt;&gt;"TDD")*IFERROR(D9:D11,0))</f>
        <v>0</v>
      </c>
      <c r="D83" s="21" t="n">
        <f aca="false">COUNTIF(D9:D11,"&lt;&gt;TDD")*10</f>
        <v>30</v>
      </c>
      <c r="E83" s="22" t="n">
        <f aca="false">IFERROR(C83/D83,0)</f>
        <v>0</v>
      </c>
    </row>
    <row r="84" customFormat="false" ht="22.35" hidden="false" customHeight="false" outlineLevel="0" collapsed="false">
      <c r="A84" s="19" t="s">
        <v>81</v>
      </c>
      <c r="B84" s="20" t="n">
        <v>2</v>
      </c>
      <c r="C84" s="21" t="n">
        <f aca="false">SUMPRODUCT((D13:D14&lt;&gt;"TDD")*IFERROR(D13:D14,0))</f>
        <v>0</v>
      </c>
      <c r="D84" s="21" t="n">
        <f aca="false">COUNTIF(D13:D14,"&lt;&gt;TDD")*10</f>
        <v>20</v>
      </c>
      <c r="E84" s="22" t="n">
        <f aca="false">IFERROR(C84/D84,0)</f>
        <v>0</v>
      </c>
    </row>
    <row r="85" customFormat="false" ht="22.35" hidden="false" customHeight="false" outlineLevel="0" collapsed="false">
      <c r="A85" s="19" t="s">
        <v>87</v>
      </c>
      <c r="B85" s="20" t="n">
        <v>4</v>
      </c>
      <c r="C85" s="21" t="n">
        <f aca="false">SUMPRODUCT((D16:D19&lt;&gt;"TDD")*IFERROR(D16:D19,0))</f>
        <v>0</v>
      </c>
      <c r="D85" s="21" t="n">
        <f aca="false">COUNTIF(D16:D19,"&lt;&gt;TDD")*10</f>
        <v>40</v>
      </c>
      <c r="E85" s="22" t="n">
        <f aca="false">IFERROR(C85/D85,0)</f>
        <v>0</v>
      </c>
    </row>
    <row r="86" customFormat="false" ht="15" hidden="false" customHeight="false" outlineLevel="0" collapsed="false">
      <c r="A86" s="19" t="s">
        <v>97</v>
      </c>
      <c r="B86" s="20" t="n">
        <v>2</v>
      </c>
      <c r="C86" s="21" t="n">
        <f aca="false">SUMPRODUCT((D21:D22&lt;&gt;"TDD")*IFERROR(D21:D22,0))</f>
        <v>0</v>
      </c>
      <c r="D86" s="21" t="n">
        <f aca="false">COUNTIF(D21:D22,"&lt;&gt;TDD")*10</f>
        <v>20</v>
      </c>
      <c r="E86" s="22" t="n">
        <f aca="false">IFERROR(C86/D86,0)</f>
        <v>0</v>
      </c>
    </row>
    <row r="87" customFormat="false" ht="22.35" hidden="false" customHeight="false" outlineLevel="0" collapsed="false">
      <c r="A87" s="19" t="s">
        <v>103</v>
      </c>
      <c r="B87" s="20" t="n">
        <v>2</v>
      </c>
      <c r="C87" s="21" t="n">
        <f aca="false">SUMPRODUCT((D24:D25&lt;&gt;"TDD")*IFERROR(D24:D25,0))</f>
        <v>0</v>
      </c>
      <c r="D87" s="21" t="n">
        <f aca="false">COUNTIF(D24:D25,"&lt;&gt;TDD")*10</f>
        <v>20</v>
      </c>
      <c r="E87" s="22" t="n">
        <f aca="false">IFERROR(C87/D87,0)</f>
        <v>0</v>
      </c>
    </row>
    <row r="88" customFormat="false" ht="22.35" hidden="false" customHeight="false" outlineLevel="0" collapsed="false">
      <c r="A88" s="19" t="s">
        <v>109</v>
      </c>
      <c r="B88" s="20" t="n">
        <v>2</v>
      </c>
      <c r="C88" s="21" t="n">
        <f aca="false">SUMPRODUCT((D27:D28&lt;&gt;"TDD")*IFERROR(D27:D28,0))</f>
        <v>0</v>
      </c>
      <c r="D88" s="21" t="n">
        <f aca="false">COUNTIF(D27:D28,"&lt;&gt;TDD")*10</f>
        <v>20</v>
      </c>
      <c r="E88" s="22" t="n">
        <f aca="false">IFERROR(C88/D88,0)</f>
        <v>0</v>
      </c>
    </row>
    <row r="89" customFormat="false" ht="22.35" hidden="false" customHeight="false" outlineLevel="0" collapsed="false">
      <c r="A89" s="19" t="s">
        <v>115</v>
      </c>
      <c r="B89" s="20" t="n">
        <v>3</v>
      </c>
      <c r="C89" s="21" t="n">
        <f aca="false">SUMPRODUCT((D30:D32&lt;&gt;"TDD")*IFERROR(D30:D32,0))</f>
        <v>0</v>
      </c>
      <c r="D89" s="21" t="n">
        <f aca="false">COUNTIF(D30:D32,"&lt;&gt;TDD")*10</f>
        <v>30</v>
      </c>
      <c r="E89" s="22" t="n">
        <f aca="false">IFERROR(C89/D89,0)</f>
        <v>0</v>
      </c>
    </row>
    <row r="90" customFormat="false" ht="22.35" hidden="false" customHeight="false" outlineLevel="0" collapsed="false">
      <c r="A90" s="19" t="s">
        <v>123</v>
      </c>
      <c r="B90" s="20" t="n">
        <v>2</v>
      </c>
      <c r="C90" s="21" t="n">
        <f aca="false">SUMPRODUCT((D34:D35&lt;&gt;"TDD")*IFERROR(D34:D35,0))</f>
        <v>0</v>
      </c>
      <c r="D90" s="21" t="n">
        <f aca="false">COUNTIF(D34:D35,"&lt;&gt;TDD")*10</f>
        <v>20</v>
      </c>
      <c r="E90" s="22" t="n">
        <f aca="false">IFERROR(C90/D90,0)</f>
        <v>0</v>
      </c>
    </row>
    <row r="91" customFormat="false" ht="22.35" hidden="false" customHeight="false" outlineLevel="0" collapsed="false">
      <c r="A91" s="19" t="s">
        <v>129</v>
      </c>
      <c r="B91" s="20" t="n">
        <v>2</v>
      </c>
      <c r="C91" s="21" t="n">
        <f aca="false">SUMPRODUCT((D37:D38&lt;&gt;"TDD")*IFERROR(D37:D38,0))</f>
        <v>0</v>
      </c>
      <c r="D91" s="21" t="n">
        <f aca="false">COUNTIF(D37:D38,"&lt;&gt;TDD")*10</f>
        <v>20</v>
      </c>
      <c r="E91" s="22" t="n">
        <f aca="false">IFERROR(C91/D91,0)</f>
        <v>0</v>
      </c>
    </row>
    <row r="92" customFormat="false" ht="22.35" hidden="false" customHeight="false" outlineLevel="0" collapsed="false">
      <c r="A92" s="19" t="s">
        <v>135</v>
      </c>
      <c r="B92" s="20" t="n">
        <v>3</v>
      </c>
      <c r="C92" s="21" t="n">
        <f aca="false">SUMPRODUCT((D40:D42&lt;&gt;"TDD")*IFERROR(D40:D42,0))</f>
        <v>0</v>
      </c>
      <c r="D92" s="21" t="n">
        <f aca="false">COUNTIF(D40:D42,"&lt;&gt;TDD")*10</f>
        <v>30</v>
      </c>
      <c r="E92" s="22" t="n">
        <f aca="false">IFERROR(C92/D92,0)</f>
        <v>0</v>
      </c>
    </row>
    <row r="93" customFormat="false" ht="22.35" hidden="false" customHeight="false" outlineLevel="0" collapsed="false">
      <c r="A93" s="19" t="s">
        <v>143</v>
      </c>
      <c r="B93" s="20" t="n">
        <v>4</v>
      </c>
      <c r="C93" s="21" t="n">
        <f aca="false">SUMPRODUCT((D44:D47&lt;&gt;"TDD")*IFERROR(D44:D47,0))</f>
        <v>0</v>
      </c>
      <c r="D93" s="21" t="n">
        <f aca="false">COUNTIF(D44:D47,"&lt;&gt;TDD")*10</f>
        <v>40</v>
      </c>
      <c r="E93" s="22" t="n">
        <f aca="false">IFERROR(C93/D93,0)</f>
        <v>0</v>
      </c>
    </row>
    <row r="94" customFormat="false" ht="22.35" hidden="false" customHeight="false" outlineLevel="0" collapsed="false">
      <c r="A94" s="19" t="s">
        <v>153</v>
      </c>
      <c r="B94" s="20" t="n">
        <v>2</v>
      </c>
      <c r="C94" s="21" t="n">
        <f aca="false">SUMPRODUCT((D49:D50&lt;&gt;"TDD")*IFERROR(D49:D50,0))</f>
        <v>0</v>
      </c>
      <c r="D94" s="21" t="n">
        <f aca="false">COUNTIF(D49:D50,"&lt;&gt;TDD")*10</f>
        <v>20</v>
      </c>
      <c r="E94" s="22" t="n">
        <f aca="false">IFERROR(C94/D94,0)</f>
        <v>0</v>
      </c>
    </row>
    <row r="95" customFormat="false" ht="22.35" hidden="false" customHeight="false" outlineLevel="0" collapsed="false">
      <c r="A95" s="19" t="s">
        <v>159</v>
      </c>
      <c r="B95" s="20" t="n">
        <v>2</v>
      </c>
      <c r="C95" s="21" t="n">
        <f aca="false">SUMPRODUCT((D52:D53&lt;&gt;"TDD")*IFERROR(D52:D53,0))</f>
        <v>0</v>
      </c>
      <c r="D95" s="21" t="n">
        <f aca="false">COUNTIF(D52:D53,"&lt;&gt;TDD")*10</f>
        <v>20</v>
      </c>
      <c r="E95" s="22" t="n">
        <f aca="false">IFERROR(C95/D95,0)</f>
        <v>0</v>
      </c>
    </row>
    <row r="96" customFormat="false" ht="22.35" hidden="false" customHeight="false" outlineLevel="0" collapsed="false">
      <c r="A96" s="19" t="s">
        <v>165</v>
      </c>
      <c r="B96" s="20" t="n">
        <v>3</v>
      </c>
      <c r="C96" s="21" t="n">
        <f aca="false">SUMPRODUCT((D55:D57&lt;&gt;"TDD")*IFERROR(D55:D57,0))</f>
        <v>0</v>
      </c>
      <c r="D96" s="21" t="n">
        <f aca="false">COUNTIF(D55:D57,"&lt;&gt;TDD")*10</f>
        <v>30</v>
      </c>
      <c r="E96" s="22" t="n">
        <f aca="false">IFERROR(C96/D96,0)</f>
        <v>0</v>
      </c>
    </row>
    <row r="97" customFormat="false" ht="15" hidden="false" customHeight="false" outlineLevel="0" collapsed="false">
      <c r="A97" s="19" t="s">
        <v>173</v>
      </c>
      <c r="B97" s="20" t="n">
        <v>4</v>
      </c>
      <c r="C97" s="21" t="n">
        <f aca="false">SUMPRODUCT((D59:D62&lt;&gt;"TDD")*IFERROR(D59:D62,0))</f>
        <v>0</v>
      </c>
      <c r="D97" s="21" t="n">
        <f aca="false">COUNTIF(D59:D62,"&lt;&gt;TDD")*10</f>
        <v>40</v>
      </c>
      <c r="E97" s="22" t="n">
        <f aca="false">IFERROR(C97/D97,0)</f>
        <v>0</v>
      </c>
    </row>
    <row r="98" customFormat="false" ht="22.35" hidden="false" customHeight="false" outlineLevel="0" collapsed="false">
      <c r="A98" s="19" t="s">
        <v>183</v>
      </c>
      <c r="B98" s="20" t="n">
        <v>3</v>
      </c>
      <c r="C98" s="21" t="n">
        <f aca="false">SUMPRODUCT((D64:D66&lt;&gt;"TDD")*IFERROR(D64:D66,0))</f>
        <v>0</v>
      </c>
      <c r="D98" s="21" t="n">
        <f aca="false">COUNTIF(D64:D66,"&lt;&gt;TDD")*10</f>
        <v>30</v>
      </c>
      <c r="E98" s="22" t="n">
        <f aca="false">IFERROR(C98/D98,0)</f>
        <v>0</v>
      </c>
    </row>
    <row r="99" customFormat="false" ht="32.8" hidden="false" customHeight="false" outlineLevel="0" collapsed="false">
      <c r="A99" s="19" t="s">
        <v>191</v>
      </c>
      <c r="B99" s="20" t="n">
        <v>5</v>
      </c>
      <c r="C99" s="21" t="n">
        <f aca="false">SUMPRODUCT((D68:D72&lt;&gt;"TDD")*IFERROR(D68:D72,0))</f>
        <v>0</v>
      </c>
      <c r="D99" s="21" t="n">
        <f aca="false">COUNTIF(D68:D72,"&lt;&gt;TDD")*10</f>
        <v>50</v>
      </c>
      <c r="E99" s="22" t="n">
        <f aca="false">IFERROR(C99/D99,0)</f>
        <v>0</v>
      </c>
    </row>
    <row r="100" customFormat="false" ht="32.8" hidden="false" customHeight="false" outlineLevel="0" collapsed="false">
      <c r="A100" s="19" t="s">
        <v>203</v>
      </c>
      <c r="B100" s="20" t="n">
        <v>5</v>
      </c>
      <c r="C100" s="21" t="n">
        <f aca="false">SUMPRODUCT((D74:D78&lt;&gt;"TDD")*IFERROR(D74:D78,0))</f>
        <v>0</v>
      </c>
      <c r="D100" s="21" t="n">
        <f aca="false">COUNTIF(D74:D78,"&lt;&gt;TDD")*10</f>
        <v>50</v>
      </c>
      <c r="E100" s="22" t="n">
        <f aca="false">IFERROR(C100/D100,0)</f>
        <v>0</v>
      </c>
    </row>
    <row r="101" customFormat="false" ht="15" hidden="false" customHeight="false" outlineLevel="0" collapsed="false">
      <c r="A101" s="23" t="s">
        <v>215</v>
      </c>
      <c r="B101" s="24" t="n">
        <f aca="false">SUM(B82:B100)</f>
        <v>55</v>
      </c>
      <c r="C101" s="23" t="n">
        <f aca="false">SUM(C82:C100)</f>
        <v>0</v>
      </c>
      <c r="D101" s="23" t="n">
        <f aca="false">SUM(D82:D100)</f>
        <v>550</v>
      </c>
      <c r="E101" s="25" t="n">
        <f aca="false">IFERROR(C101/D101,0)</f>
        <v>0</v>
      </c>
    </row>
  </sheetData>
  <mergeCells count="22">
    <mergeCell ref="A1:F1"/>
    <mergeCell ref="A2:F2"/>
    <mergeCell ref="A5:F5"/>
    <mergeCell ref="A8:F8"/>
    <mergeCell ref="A12:F12"/>
    <mergeCell ref="A15:F15"/>
    <mergeCell ref="A20:F20"/>
    <mergeCell ref="A23:F23"/>
    <mergeCell ref="A26:F26"/>
    <mergeCell ref="A29:F29"/>
    <mergeCell ref="A33:F33"/>
    <mergeCell ref="A36:F36"/>
    <mergeCell ref="A39:F39"/>
    <mergeCell ref="A43:F43"/>
    <mergeCell ref="A48:F48"/>
    <mergeCell ref="A51:F51"/>
    <mergeCell ref="A54:F54"/>
    <mergeCell ref="A58:F58"/>
    <mergeCell ref="A63:F63"/>
    <mergeCell ref="A67:F67"/>
    <mergeCell ref="A73:F73"/>
    <mergeCell ref="A80:F80"/>
  </mergeCells>
  <dataValidations count="1">
    <dataValidation allowBlank="true" error="Nilai harus 0, 5, 10, atau TDD." errorStyle="stop" errorTitle="Error" operator="between" showDropDown="false" showErrorMessage="true" showInputMessage="false" sqref="D6:D7 D9:D11 D13:D14 D16:D19 D21:D22 D24:D25 D27:D28 D30:D32 D34:D35 D37:D38 D40:D42 D44:D47 D49:D50 D52:D53 D55:D57 D59:D62 D64:D66 D68:D72 D74:D78" type="list">
      <formula1>"10,5,0,TDD"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8"/>
    <col collapsed="false" customWidth="true" hidden="false" outlineLevel="0" max="3" min="3" style="0" width="48"/>
    <col collapsed="false" customWidth="true" hidden="false" outlineLevel="0" max="4" min="4" style="0" width="12"/>
    <col collapsed="false" customWidth="true" hidden="false" outlineLevel="0" max="5" min="5" style="0" width="30"/>
    <col collapsed="false" customWidth="true" hidden="false" outlineLevel="0" max="6" min="6" style="0" width="28"/>
  </cols>
  <sheetData>
    <row r="1" customFormat="false" ht="24" hidden="false" customHeight="true" outlineLevel="0" collapsed="false">
      <c r="A1" s="7" t="s">
        <v>216</v>
      </c>
      <c r="B1" s="7"/>
      <c r="C1" s="7"/>
      <c r="D1" s="7"/>
      <c r="E1" s="7"/>
      <c r="F1" s="7"/>
    </row>
    <row r="2" customFormat="false" ht="27.75" hidden="false" customHeight="true" outlineLevel="0" collapsed="false">
      <c r="A2" s="8" t="s">
        <v>34</v>
      </c>
      <c r="B2" s="8"/>
      <c r="C2" s="8"/>
      <c r="D2" s="8"/>
      <c r="E2" s="8"/>
      <c r="F2" s="8"/>
    </row>
    <row r="4" customFormat="false" ht="27.75" hidden="false" customHeight="true" outlineLevel="0" collapsed="false">
      <c r="A4" s="9" t="s">
        <v>35</v>
      </c>
      <c r="B4" s="9" t="s">
        <v>36</v>
      </c>
      <c r="C4" s="9" t="s">
        <v>37</v>
      </c>
      <c r="D4" s="9" t="s">
        <v>38</v>
      </c>
      <c r="E4" s="9" t="s">
        <v>39</v>
      </c>
      <c r="F4" s="9" t="s">
        <v>40</v>
      </c>
    </row>
    <row r="5" customFormat="false" ht="25.5" hidden="false" customHeight="true" outlineLevel="0" collapsed="false">
      <c r="A5" s="10" t="s">
        <v>217</v>
      </c>
      <c r="B5" s="10"/>
      <c r="C5" s="10"/>
      <c r="D5" s="10"/>
      <c r="E5" s="10"/>
      <c r="F5" s="10"/>
    </row>
    <row r="6" customFormat="false" ht="49.5" hidden="false" customHeight="true" outlineLevel="0" collapsed="false">
      <c r="A6" s="11" t="s">
        <v>218</v>
      </c>
      <c r="B6" s="12" t="n">
        <v>1</v>
      </c>
      <c r="C6" s="13" t="s">
        <v>219</v>
      </c>
      <c r="D6" s="14"/>
      <c r="E6" s="15" t="s">
        <v>220</v>
      </c>
      <c r="F6" s="16"/>
    </row>
    <row r="7" customFormat="false" ht="49.5" hidden="false" customHeight="true" outlineLevel="0" collapsed="false">
      <c r="A7" s="11" t="s">
        <v>218</v>
      </c>
      <c r="B7" s="12" t="n">
        <v>2</v>
      </c>
      <c r="C7" s="13" t="s">
        <v>221</v>
      </c>
      <c r="D7" s="14"/>
      <c r="E7" s="15" t="s">
        <v>222</v>
      </c>
      <c r="F7" s="16"/>
    </row>
    <row r="8" customFormat="false" ht="25.5" hidden="false" customHeight="true" outlineLevel="0" collapsed="false">
      <c r="A8" s="10" t="s">
        <v>223</v>
      </c>
      <c r="B8" s="10"/>
      <c r="C8" s="10"/>
      <c r="D8" s="10"/>
      <c r="E8" s="10"/>
      <c r="F8" s="10"/>
    </row>
    <row r="9" customFormat="false" ht="49.5" hidden="false" customHeight="true" outlineLevel="0" collapsed="false">
      <c r="A9" s="11" t="s">
        <v>224</v>
      </c>
      <c r="B9" s="12" t="n">
        <v>1</v>
      </c>
      <c r="C9" s="13" t="s">
        <v>225</v>
      </c>
      <c r="D9" s="14"/>
      <c r="E9" s="15" t="s">
        <v>226</v>
      </c>
      <c r="F9" s="16"/>
    </row>
    <row r="10" customFormat="false" ht="49.5" hidden="false" customHeight="true" outlineLevel="0" collapsed="false">
      <c r="A10" s="11" t="s">
        <v>224</v>
      </c>
      <c r="B10" s="12" t="n">
        <v>2</v>
      </c>
      <c r="C10" s="13" t="s">
        <v>227</v>
      </c>
      <c r="D10" s="14"/>
      <c r="E10" s="15" t="s">
        <v>228</v>
      </c>
      <c r="F10" s="16"/>
    </row>
    <row r="11" customFormat="false" ht="49.5" hidden="false" customHeight="true" outlineLevel="0" collapsed="false">
      <c r="A11" s="11" t="s">
        <v>224</v>
      </c>
      <c r="B11" s="12" t="n">
        <v>3</v>
      </c>
      <c r="C11" s="13" t="s">
        <v>229</v>
      </c>
      <c r="D11" s="14"/>
      <c r="E11" s="15" t="s">
        <v>230</v>
      </c>
      <c r="F11" s="16"/>
    </row>
    <row r="12" customFormat="false" ht="25.5" hidden="false" customHeight="true" outlineLevel="0" collapsed="false">
      <c r="A12" s="10" t="s">
        <v>231</v>
      </c>
      <c r="B12" s="10"/>
      <c r="C12" s="10"/>
      <c r="D12" s="10"/>
      <c r="E12" s="10"/>
      <c r="F12" s="10"/>
    </row>
    <row r="13" customFormat="false" ht="49.5" hidden="false" customHeight="true" outlineLevel="0" collapsed="false">
      <c r="A13" s="11" t="s">
        <v>232</v>
      </c>
      <c r="B13" s="12" t="n">
        <v>1</v>
      </c>
      <c r="C13" s="13" t="s">
        <v>233</v>
      </c>
      <c r="D13" s="14"/>
      <c r="E13" s="15" t="s">
        <v>234</v>
      </c>
      <c r="F13" s="16"/>
    </row>
    <row r="14" customFormat="false" ht="49.5" hidden="false" customHeight="true" outlineLevel="0" collapsed="false">
      <c r="A14" s="11" t="s">
        <v>232</v>
      </c>
      <c r="B14" s="12" t="n">
        <v>2</v>
      </c>
      <c r="C14" s="13" t="s">
        <v>235</v>
      </c>
      <c r="D14" s="14"/>
      <c r="E14" s="15" t="s">
        <v>236</v>
      </c>
      <c r="F14" s="16"/>
    </row>
    <row r="15" customFormat="false" ht="49.5" hidden="false" customHeight="true" outlineLevel="0" collapsed="false">
      <c r="A15" s="11" t="s">
        <v>232</v>
      </c>
      <c r="B15" s="12" t="n">
        <v>3</v>
      </c>
      <c r="C15" s="13" t="s">
        <v>237</v>
      </c>
      <c r="D15" s="14"/>
      <c r="E15" s="15" t="s">
        <v>238</v>
      </c>
      <c r="F15" s="16"/>
    </row>
    <row r="16" customFormat="false" ht="49.5" hidden="false" customHeight="true" outlineLevel="0" collapsed="false">
      <c r="A16" s="11" t="s">
        <v>232</v>
      </c>
      <c r="B16" s="12" t="n">
        <v>4</v>
      </c>
      <c r="C16" s="13" t="s">
        <v>239</v>
      </c>
      <c r="D16" s="14"/>
      <c r="E16" s="15" t="s">
        <v>240</v>
      </c>
      <c r="F16" s="16"/>
    </row>
    <row r="17" customFormat="false" ht="49.5" hidden="false" customHeight="true" outlineLevel="0" collapsed="false">
      <c r="A17" s="11" t="s">
        <v>232</v>
      </c>
      <c r="B17" s="12" t="n">
        <v>5</v>
      </c>
      <c r="C17" s="13" t="s">
        <v>241</v>
      </c>
      <c r="D17" s="14"/>
      <c r="E17" s="15" t="s">
        <v>242</v>
      </c>
      <c r="F17" s="16"/>
    </row>
    <row r="18" customFormat="false" ht="25.5" hidden="false" customHeight="true" outlineLevel="0" collapsed="false">
      <c r="A18" s="10" t="s">
        <v>243</v>
      </c>
      <c r="B18" s="10"/>
      <c r="C18" s="10"/>
      <c r="D18" s="10"/>
      <c r="E18" s="10"/>
      <c r="F18" s="10"/>
    </row>
    <row r="19" customFormat="false" ht="49.5" hidden="false" customHeight="true" outlineLevel="0" collapsed="false">
      <c r="A19" s="11" t="s">
        <v>244</v>
      </c>
      <c r="B19" s="12" t="n">
        <v>1</v>
      </c>
      <c r="C19" s="13" t="s">
        <v>245</v>
      </c>
      <c r="D19" s="14"/>
      <c r="E19" s="15" t="s">
        <v>246</v>
      </c>
      <c r="F19" s="16"/>
    </row>
    <row r="20" customFormat="false" ht="49.5" hidden="false" customHeight="true" outlineLevel="0" collapsed="false">
      <c r="A20" s="11" t="s">
        <v>244</v>
      </c>
      <c r="B20" s="12" t="n">
        <v>2</v>
      </c>
      <c r="C20" s="13" t="s">
        <v>247</v>
      </c>
      <c r="D20" s="14"/>
      <c r="E20" s="15" t="s">
        <v>248</v>
      </c>
      <c r="F20" s="16"/>
    </row>
    <row r="21" customFormat="false" ht="49.5" hidden="false" customHeight="true" outlineLevel="0" collapsed="false">
      <c r="A21" s="11" t="s">
        <v>244</v>
      </c>
      <c r="B21" s="12" t="n">
        <v>3</v>
      </c>
      <c r="C21" s="13" t="s">
        <v>249</v>
      </c>
      <c r="D21" s="14"/>
      <c r="E21" s="15" t="s">
        <v>250</v>
      </c>
      <c r="F21" s="16"/>
    </row>
    <row r="22" customFormat="false" ht="25.5" hidden="false" customHeight="true" outlineLevel="0" collapsed="false">
      <c r="A22" s="10" t="s">
        <v>251</v>
      </c>
      <c r="B22" s="10"/>
      <c r="C22" s="10"/>
      <c r="D22" s="10"/>
      <c r="E22" s="10"/>
      <c r="F22" s="10"/>
    </row>
    <row r="23" customFormat="false" ht="49.5" hidden="false" customHeight="true" outlineLevel="0" collapsed="false">
      <c r="A23" s="11" t="s">
        <v>252</v>
      </c>
      <c r="B23" s="12" t="n">
        <v>1</v>
      </c>
      <c r="C23" s="13" t="s">
        <v>253</v>
      </c>
      <c r="D23" s="14"/>
      <c r="E23" s="15" t="s">
        <v>254</v>
      </c>
      <c r="F23" s="16"/>
    </row>
    <row r="24" customFormat="false" ht="49.5" hidden="false" customHeight="true" outlineLevel="0" collapsed="false">
      <c r="A24" s="11" t="s">
        <v>252</v>
      </c>
      <c r="B24" s="12" t="n">
        <v>2</v>
      </c>
      <c r="C24" s="13" t="s">
        <v>255</v>
      </c>
      <c r="D24" s="14"/>
      <c r="E24" s="15" t="s">
        <v>256</v>
      </c>
      <c r="F24" s="16"/>
    </row>
    <row r="25" customFormat="false" ht="49.5" hidden="false" customHeight="true" outlineLevel="0" collapsed="false">
      <c r="A25" s="11" t="s">
        <v>252</v>
      </c>
      <c r="B25" s="12" t="n">
        <v>3</v>
      </c>
      <c r="C25" s="13" t="s">
        <v>257</v>
      </c>
      <c r="D25" s="14"/>
      <c r="E25" s="15" t="s">
        <v>258</v>
      </c>
      <c r="F25" s="16"/>
    </row>
    <row r="26" customFormat="false" ht="25.5" hidden="false" customHeight="true" outlineLevel="0" collapsed="false">
      <c r="A26" s="10" t="s">
        <v>259</v>
      </c>
      <c r="B26" s="10"/>
      <c r="C26" s="10"/>
      <c r="D26" s="10"/>
      <c r="E26" s="10"/>
      <c r="F26" s="10"/>
    </row>
    <row r="27" customFormat="false" ht="49.5" hidden="false" customHeight="true" outlineLevel="0" collapsed="false">
      <c r="A27" s="11" t="s">
        <v>260</v>
      </c>
      <c r="B27" s="12" t="n">
        <v>1</v>
      </c>
      <c r="C27" s="13" t="s">
        <v>261</v>
      </c>
      <c r="D27" s="14"/>
      <c r="E27" s="15" t="s">
        <v>262</v>
      </c>
      <c r="F27" s="16"/>
    </row>
    <row r="28" customFormat="false" ht="49.5" hidden="false" customHeight="true" outlineLevel="0" collapsed="false">
      <c r="A28" s="11" t="s">
        <v>260</v>
      </c>
      <c r="B28" s="12" t="n">
        <v>2</v>
      </c>
      <c r="C28" s="13" t="s">
        <v>263</v>
      </c>
      <c r="D28" s="14"/>
      <c r="E28" s="15" t="s">
        <v>264</v>
      </c>
      <c r="F28" s="16"/>
    </row>
    <row r="29" customFormat="false" ht="25.5" hidden="false" customHeight="true" outlineLevel="0" collapsed="false">
      <c r="A29" s="10" t="s">
        <v>265</v>
      </c>
      <c r="B29" s="10"/>
      <c r="C29" s="10"/>
      <c r="D29" s="10"/>
      <c r="E29" s="10"/>
      <c r="F29" s="10"/>
    </row>
    <row r="30" customFormat="false" ht="49.5" hidden="false" customHeight="true" outlineLevel="0" collapsed="false">
      <c r="A30" s="11" t="s">
        <v>266</v>
      </c>
      <c r="B30" s="12" t="n">
        <v>1</v>
      </c>
      <c r="C30" s="13" t="s">
        <v>267</v>
      </c>
      <c r="D30" s="14"/>
      <c r="E30" s="15" t="s">
        <v>268</v>
      </c>
      <c r="F30" s="16"/>
    </row>
    <row r="31" customFormat="false" ht="49.5" hidden="false" customHeight="true" outlineLevel="0" collapsed="false">
      <c r="A31" s="11" t="s">
        <v>266</v>
      </c>
      <c r="B31" s="12" t="n">
        <v>2</v>
      </c>
      <c r="C31" s="13" t="s">
        <v>269</v>
      </c>
      <c r="D31" s="14"/>
      <c r="E31" s="15" t="s">
        <v>270</v>
      </c>
      <c r="F31" s="16"/>
    </row>
    <row r="32" customFormat="false" ht="49.5" hidden="false" customHeight="true" outlineLevel="0" collapsed="false">
      <c r="A32" s="11" t="s">
        <v>266</v>
      </c>
      <c r="B32" s="12" t="n">
        <v>3</v>
      </c>
      <c r="C32" s="13" t="s">
        <v>271</v>
      </c>
      <c r="D32" s="14"/>
      <c r="E32" s="15" t="s">
        <v>272</v>
      </c>
      <c r="F32" s="16"/>
    </row>
    <row r="33" customFormat="false" ht="25.5" hidden="false" customHeight="true" outlineLevel="0" collapsed="false">
      <c r="A33" s="10" t="s">
        <v>273</v>
      </c>
      <c r="B33" s="10"/>
      <c r="C33" s="10"/>
      <c r="D33" s="10"/>
      <c r="E33" s="10"/>
      <c r="F33" s="10"/>
    </row>
    <row r="34" customFormat="false" ht="49.5" hidden="false" customHeight="true" outlineLevel="0" collapsed="false">
      <c r="A34" s="11" t="s">
        <v>274</v>
      </c>
      <c r="B34" s="12" t="n">
        <v>1</v>
      </c>
      <c r="C34" s="13" t="s">
        <v>275</v>
      </c>
      <c r="D34" s="14"/>
      <c r="E34" s="15" t="s">
        <v>276</v>
      </c>
      <c r="F34" s="16"/>
    </row>
    <row r="35" customFormat="false" ht="49.5" hidden="false" customHeight="true" outlineLevel="0" collapsed="false">
      <c r="A35" s="11" t="s">
        <v>274</v>
      </c>
      <c r="B35" s="12" t="n">
        <v>2</v>
      </c>
      <c r="C35" s="13" t="s">
        <v>277</v>
      </c>
      <c r="D35" s="14"/>
      <c r="E35" s="15" t="s">
        <v>278</v>
      </c>
      <c r="F35" s="16"/>
    </row>
    <row r="36" customFormat="false" ht="49.5" hidden="false" customHeight="true" outlineLevel="0" collapsed="false">
      <c r="A36" s="11" t="s">
        <v>274</v>
      </c>
      <c r="B36" s="12" t="n">
        <v>3</v>
      </c>
      <c r="C36" s="13" t="s">
        <v>279</v>
      </c>
      <c r="D36" s="14"/>
      <c r="E36" s="15" t="s">
        <v>280</v>
      </c>
      <c r="F36" s="16"/>
    </row>
    <row r="37" customFormat="false" ht="49.5" hidden="false" customHeight="true" outlineLevel="0" collapsed="false">
      <c r="A37" s="11" t="s">
        <v>274</v>
      </c>
      <c r="B37" s="12" t="n">
        <v>4</v>
      </c>
      <c r="C37" s="13" t="s">
        <v>281</v>
      </c>
      <c r="D37" s="14"/>
      <c r="E37" s="15" t="s">
        <v>282</v>
      </c>
      <c r="F37" s="16"/>
    </row>
    <row r="38" customFormat="false" ht="49.5" hidden="false" customHeight="true" outlineLevel="0" collapsed="false">
      <c r="A38" s="11" t="s">
        <v>274</v>
      </c>
      <c r="B38" s="12" t="n">
        <v>5</v>
      </c>
      <c r="C38" s="13" t="s">
        <v>283</v>
      </c>
      <c r="D38" s="14"/>
      <c r="E38" s="15" t="s">
        <v>284</v>
      </c>
      <c r="F38" s="16"/>
    </row>
    <row r="39" customFormat="false" ht="49.5" hidden="false" customHeight="true" outlineLevel="0" collapsed="false">
      <c r="A39" s="11" t="s">
        <v>274</v>
      </c>
      <c r="B39" s="12" t="n">
        <v>6</v>
      </c>
      <c r="C39" s="13" t="s">
        <v>285</v>
      </c>
      <c r="D39" s="14"/>
      <c r="E39" s="15" t="s">
        <v>286</v>
      </c>
      <c r="F39" s="16"/>
    </row>
    <row r="41" customFormat="false" ht="24" hidden="false" customHeight="true" outlineLevel="0" collapsed="false">
      <c r="A41" s="17" t="s">
        <v>287</v>
      </c>
      <c r="B41" s="17"/>
      <c r="C41" s="17"/>
      <c r="D41" s="17"/>
      <c r="E41" s="17"/>
      <c r="F41" s="17"/>
    </row>
    <row r="42" customFormat="false" ht="23.85" hidden="false" customHeight="false" outlineLevel="0" collapsed="false">
      <c r="A42" s="18" t="s">
        <v>35</v>
      </c>
      <c r="B42" s="18" t="s">
        <v>60</v>
      </c>
      <c r="C42" s="18" t="s">
        <v>61</v>
      </c>
      <c r="D42" s="18" t="s">
        <v>62</v>
      </c>
      <c r="E42" s="18" t="s">
        <v>63</v>
      </c>
    </row>
    <row r="43" customFormat="false" ht="22.35" hidden="false" customHeight="false" outlineLevel="0" collapsed="false">
      <c r="A43" s="19" t="s">
        <v>218</v>
      </c>
      <c r="B43" s="20" t="n">
        <v>2</v>
      </c>
      <c r="C43" s="21" t="n">
        <f aca="false">SUMPRODUCT((D6:D7&lt;&gt;"TDD")*IFERROR(D6:D7,0))</f>
        <v>0</v>
      </c>
      <c r="D43" s="21" t="n">
        <f aca="false">COUNTIF(D6:D7,"&lt;&gt;TDD")*10</f>
        <v>20</v>
      </c>
      <c r="E43" s="22" t="n">
        <f aca="false">IFERROR(C43/D43,0)</f>
        <v>0</v>
      </c>
    </row>
    <row r="44" customFormat="false" ht="22.35" hidden="false" customHeight="false" outlineLevel="0" collapsed="false">
      <c r="A44" s="19" t="s">
        <v>224</v>
      </c>
      <c r="B44" s="20" t="n">
        <v>3</v>
      </c>
      <c r="C44" s="21" t="n">
        <f aca="false">SUMPRODUCT((D9:D11&lt;&gt;"TDD")*IFERROR(D9:D11,0))</f>
        <v>0</v>
      </c>
      <c r="D44" s="21" t="n">
        <f aca="false">COUNTIF(D9:D11,"&lt;&gt;TDD")*10</f>
        <v>30</v>
      </c>
      <c r="E44" s="22" t="n">
        <f aca="false">IFERROR(C44/D44,0)</f>
        <v>0</v>
      </c>
    </row>
    <row r="45" customFormat="false" ht="22.35" hidden="false" customHeight="false" outlineLevel="0" collapsed="false">
      <c r="A45" s="19" t="s">
        <v>232</v>
      </c>
      <c r="B45" s="20" t="n">
        <v>5</v>
      </c>
      <c r="C45" s="21" t="n">
        <f aca="false">SUMPRODUCT((D13:D17&lt;&gt;"TDD")*IFERROR(D13:D17,0))</f>
        <v>0</v>
      </c>
      <c r="D45" s="21" t="n">
        <f aca="false">COUNTIF(D13:D17,"&lt;&gt;TDD")*10</f>
        <v>50</v>
      </c>
      <c r="E45" s="22" t="n">
        <f aca="false">IFERROR(C45/D45,0)</f>
        <v>0</v>
      </c>
    </row>
    <row r="46" customFormat="false" ht="22.35" hidden="false" customHeight="false" outlineLevel="0" collapsed="false">
      <c r="A46" s="19" t="s">
        <v>244</v>
      </c>
      <c r="B46" s="20" t="n">
        <v>3</v>
      </c>
      <c r="C46" s="21" t="n">
        <f aca="false">SUMPRODUCT((D19:D21&lt;&gt;"TDD")*IFERROR(D19:D21,0))</f>
        <v>0</v>
      </c>
      <c r="D46" s="21" t="n">
        <f aca="false">COUNTIF(D19:D21,"&lt;&gt;TDD")*10</f>
        <v>30</v>
      </c>
      <c r="E46" s="22" t="n">
        <f aca="false">IFERROR(C46/D46,0)</f>
        <v>0</v>
      </c>
    </row>
    <row r="47" customFormat="false" ht="22.35" hidden="false" customHeight="false" outlineLevel="0" collapsed="false">
      <c r="A47" s="19" t="s">
        <v>252</v>
      </c>
      <c r="B47" s="20" t="n">
        <v>3</v>
      </c>
      <c r="C47" s="21" t="n">
        <f aca="false">SUMPRODUCT((D23:D25&lt;&gt;"TDD")*IFERROR(D23:D25,0))</f>
        <v>0</v>
      </c>
      <c r="D47" s="21" t="n">
        <f aca="false">COUNTIF(D23:D25,"&lt;&gt;TDD")*10</f>
        <v>30</v>
      </c>
      <c r="E47" s="22" t="n">
        <f aca="false">IFERROR(C47/D47,0)</f>
        <v>0</v>
      </c>
    </row>
    <row r="48" customFormat="false" ht="32.8" hidden="false" customHeight="false" outlineLevel="0" collapsed="false">
      <c r="A48" s="19" t="s">
        <v>260</v>
      </c>
      <c r="B48" s="20" t="n">
        <v>2</v>
      </c>
      <c r="C48" s="21" t="n">
        <f aca="false">SUMPRODUCT((D27:D28&lt;&gt;"TDD")*IFERROR(D27:D28,0))</f>
        <v>0</v>
      </c>
      <c r="D48" s="21" t="n">
        <f aca="false">COUNTIF(D27:D28,"&lt;&gt;TDD")*10</f>
        <v>20</v>
      </c>
      <c r="E48" s="22" t="n">
        <f aca="false">IFERROR(C48/D48,0)</f>
        <v>0</v>
      </c>
    </row>
    <row r="49" customFormat="false" ht="22.35" hidden="false" customHeight="false" outlineLevel="0" collapsed="false">
      <c r="A49" s="19" t="s">
        <v>266</v>
      </c>
      <c r="B49" s="20" t="n">
        <v>3</v>
      </c>
      <c r="C49" s="21" t="n">
        <f aca="false">SUMPRODUCT((D30:D32&lt;&gt;"TDD")*IFERROR(D30:D32,0))</f>
        <v>0</v>
      </c>
      <c r="D49" s="21" t="n">
        <f aca="false">COUNTIF(D30:D32,"&lt;&gt;TDD")*10</f>
        <v>30</v>
      </c>
      <c r="E49" s="22" t="n">
        <f aca="false">IFERROR(C49/D49,0)</f>
        <v>0</v>
      </c>
    </row>
    <row r="50" customFormat="false" ht="32.8" hidden="false" customHeight="false" outlineLevel="0" collapsed="false">
      <c r="A50" s="19" t="s">
        <v>274</v>
      </c>
      <c r="B50" s="20" t="n">
        <v>6</v>
      </c>
      <c r="C50" s="21" t="n">
        <f aca="false">SUMPRODUCT((D34:D39&lt;&gt;"TDD")*IFERROR(D34:D39,0))</f>
        <v>0</v>
      </c>
      <c r="D50" s="21" t="n">
        <f aca="false">COUNTIF(D34:D39,"&lt;&gt;TDD")*10</f>
        <v>60</v>
      </c>
      <c r="E50" s="22" t="n">
        <f aca="false">IFERROR(C50/D50,0)</f>
        <v>0</v>
      </c>
    </row>
    <row r="51" customFormat="false" ht="15" hidden="false" customHeight="false" outlineLevel="0" collapsed="false">
      <c r="A51" s="23" t="s">
        <v>288</v>
      </c>
      <c r="B51" s="24" t="n">
        <f aca="false">SUM(B43:B50)</f>
        <v>27</v>
      </c>
      <c r="C51" s="23" t="n">
        <f aca="false">SUM(C43:C50)</f>
        <v>0</v>
      </c>
      <c r="D51" s="23" t="n">
        <f aca="false">SUM(D43:D50)</f>
        <v>270</v>
      </c>
      <c r="E51" s="25" t="n">
        <f aca="false">IFERROR(C51/D51,0)</f>
        <v>0</v>
      </c>
    </row>
  </sheetData>
  <mergeCells count="11">
    <mergeCell ref="A1:F1"/>
    <mergeCell ref="A2:F2"/>
    <mergeCell ref="A5:F5"/>
    <mergeCell ref="A8:F8"/>
    <mergeCell ref="A12:F12"/>
    <mergeCell ref="A18:F18"/>
    <mergeCell ref="A22:F22"/>
    <mergeCell ref="A26:F26"/>
    <mergeCell ref="A29:F29"/>
    <mergeCell ref="A33:F33"/>
    <mergeCell ref="A41:F41"/>
  </mergeCells>
  <dataValidations count="1">
    <dataValidation allowBlank="true" error="Nilai harus 0, 5, 10, atau TDD." errorStyle="stop" errorTitle="Error" operator="between" showDropDown="false" showErrorMessage="true" showInputMessage="false" sqref="D6:D7 D9:D11 D13:D17 D19:D21 D23:D25 D27:D28 D30:D32 D34:D39" type="list">
      <formula1>"10,5,0,TDD"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8"/>
    <col collapsed="false" customWidth="true" hidden="false" outlineLevel="0" max="3" min="3" style="0" width="48"/>
    <col collapsed="false" customWidth="true" hidden="false" outlineLevel="0" max="4" min="4" style="0" width="12"/>
    <col collapsed="false" customWidth="true" hidden="false" outlineLevel="0" max="5" min="5" style="0" width="30"/>
    <col collapsed="false" customWidth="true" hidden="false" outlineLevel="0" max="6" min="6" style="0" width="28"/>
  </cols>
  <sheetData>
    <row r="1" customFormat="false" ht="24" hidden="false" customHeight="true" outlineLevel="0" collapsed="false">
      <c r="A1" s="7" t="s">
        <v>289</v>
      </c>
      <c r="B1" s="7"/>
      <c r="C1" s="7"/>
      <c r="D1" s="7"/>
      <c r="E1" s="7"/>
      <c r="F1" s="7"/>
    </row>
    <row r="2" customFormat="false" ht="27.75" hidden="false" customHeight="true" outlineLevel="0" collapsed="false">
      <c r="A2" s="8" t="s">
        <v>34</v>
      </c>
      <c r="B2" s="8"/>
      <c r="C2" s="8"/>
      <c r="D2" s="8"/>
      <c r="E2" s="8"/>
      <c r="F2" s="8"/>
    </row>
    <row r="4" customFormat="false" ht="27.75" hidden="false" customHeight="true" outlineLevel="0" collapsed="false">
      <c r="A4" s="9" t="s">
        <v>35</v>
      </c>
      <c r="B4" s="9" t="s">
        <v>36</v>
      </c>
      <c r="C4" s="9" t="s">
        <v>37</v>
      </c>
      <c r="D4" s="9" t="s">
        <v>38</v>
      </c>
      <c r="E4" s="9" t="s">
        <v>39</v>
      </c>
      <c r="F4" s="9" t="s">
        <v>40</v>
      </c>
    </row>
    <row r="5" customFormat="false" ht="25.5" hidden="false" customHeight="true" outlineLevel="0" collapsed="false">
      <c r="A5" s="10" t="s">
        <v>290</v>
      </c>
      <c r="B5" s="10"/>
      <c r="C5" s="10"/>
      <c r="D5" s="10"/>
      <c r="E5" s="10"/>
      <c r="F5" s="10"/>
    </row>
    <row r="6" customFormat="false" ht="49.5" hidden="false" customHeight="true" outlineLevel="0" collapsed="false">
      <c r="A6" s="11" t="s">
        <v>291</v>
      </c>
      <c r="B6" s="12" t="n">
        <v>1</v>
      </c>
      <c r="C6" s="13" t="s">
        <v>292</v>
      </c>
      <c r="D6" s="14"/>
      <c r="E6" s="15" t="s">
        <v>293</v>
      </c>
      <c r="F6" s="16"/>
    </row>
    <row r="7" customFormat="false" ht="49.5" hidden="false" customHeight="true" outlineLevel="0" collapsed="false">
      <c r="A7" s="11" t="s">
        <v>291</v>
      </c>
      <c r="B7" s="12" t="n">
        <v>2</v>
      </c>
      <c r="C7" s="13" t="s">
        <v>294</v>
      </c>
      <c r="D7" s="14"/>
      <c r="E7" s="15" t="s">
        <v>295</v>
      </c>
      <c r="F7" s="16"/>
    </row>
    <row r="8" customFormat="false" ht="49.5" hidden="false" customHeight="true" outlineLevel="0" collapsed="false">
      <c r="A8" s="11" t="s">
        <v>291</v>
      </c>
      <c r="B8" s="12" t="n">
        <v>3</v>
      </c>
      <c r="C8" s="13" t="s">
        <v>296</v>
      </c>
      <c r="D8" s="14"/>
      <c r="E8" s="15" t="s">
        <v>297</v>
      </c>
      <c r="F8" s="16"/>
    </row>
    <row r="9" customFormat="false" ht="25.5" hidden="false" customHeight="true" outlineLevel="0" collapsed="false">
      <c r="A9" s="10" t="s">
        <v>298</v>
      </c>
      <c r="B9" s="10"/>
      <c r="C9" s="10"/>
      <c r="D9" s="10"/>
      <c r="E9" s="10"/>
      <c r="F9" s="10"/>
    </row>
    <row r="10" customFormat="false" ht="49.5" hidden="false" customHeight="true" outlineLevel="0" collapsed="false">
      <c r="A10" s="11" t="s">
        <v>299</v>
      </c>
      <c r="B10" s="12" t="n">
        <v>1</v>
      </c>
      <c r="C10" s="13" t="s">
        <v>300</v>
      </c>
      <c r="D10" s="14"/>
      <c r="E10" s="15" t="s">
        <v>301</v>
      </c>
      <c r="F10" s="16"/>
    </row>
    <row r="11" customFormat="false" ht="49.5" hidden="false" customHeight="true" outlineLevel="0" collapsed="false">
      <c r="A11" s="11" t="s">
        <v>299</v>
      </c>
      <c r="B11" s="12" t="n">
        <v>2</v>
      </c>
      <c r="C11" s="13" t="s">
        <v>302</v>
      </c>
      <c r="D11" s="14"/>
      <c r="E11" s="15" t="s">
        <v>303</v>
      </c>
      <c r="F11" s="16"/>
    </row>
    <row r="12" customFormat="false" ht="25.5" hidden="false" customHeight="true" outlineLevel="0" collapsed="false">
      <c r="A12" s="10" t="s">
        <v>304</v>
      </c>
      <c r="B12" s="10"/>
      <c r="C12" s="10"/>
      <c r="D12" s="10"/>
      <c r="E12" s="10"/>
      <c r="F12" s="10"/>
    </row>
    <row r="13" customFormat="false" ht="49.5" hidden="false" customHeight="true" outlineLevel="0" collapsed="false">
      <c r="A13" s="11" t="s">
        <v>304</v>
      </c>
      <c r="B13" s="12" t="n">
        <v>1</v>
      </c>
      <c r="C13" s="13" t="s">
        <v>305</v>
      </c>
      <c r="D13" s="14"/>
      <c r="E13" s="15" t="s">
        <v>306</v>
      </c>
      <c r="F13" s="16"/>
    </row>
    <row r="14" customFormat="false" ht="49.5" hidden="false" customHeight="true" outlineLevel="0" collapsed="false">
      <c r="A14" s="11" t="s">
        <v>304</v>
      </c>
      <c r="B14" s="12" t="n">
        <v>2</v>
      </c>
      <c r="C14" s="13" t="s">
        <v>307</v>
      </c>
      <c r="D14" s="14"/>
      <c r="E14" s="15" t="s">
        <v>308</v>
      </c>
      <c r="F14" s="16"/>
    </row>
    <row r="15" customFormat="false" ht="25.5" hidden="false" customHeight="true" outlineLevel="0" collapsed="false">
      <c r="A15" s="10" t="s">
        <v>309</v>
      </c>
      <c r="B15" s="10"/>
      <c r="C15" s="10"/>
      <c r="D15" s="10"/>
      <c r="E15" s="10"/>
      <c r="F15" s="10"/>
    </row>
    <row r="16" customFormat="false" ht="49.5" hidden="false" customHeight="true" outlineLevel="0" collapsed="false">
      <c r="A16" s="11" t="s">
        <v>309</v>
      </c>
      <c r="B16" s="12" t="n">
        <v>1</v>
      </c>
      <c r="C16" s="13" t="s">
        <v>310</v>
      </c>
      <c r="D16" s="14"/>
      <c r="E16" s="15" t="s">
        <v>311</v>
      </c>
      <c r="F16" s="16"/>
    </row>
    <row r="17" customFormat="false" ht="49.5" hidden="false" customHeight="true" outlineLevel="0" collapsed="false">
      <c r="A17" s="11" t="s">
        <v>309</v>
      </c>
      <c r="B17" s="12" t="n">
        <v>2</v>
      </c>
      <c r="C17" s="13" t="s">
        <v>312</v>
      </c>
      <c r="D17" s="14"/>
      <c r="E17" s="15" t="s">
        <v>313</v>
      </c>
      <c r="F17" s="16"/>
    </row>
    <row r="18" customFormat="false" ht="25.5" hidden="false" customHeight="true" outlineLevel="0" collapsed="false">
      <c r="A18" s="10" t="s">
        <v>314</v>
      </c>
      <c r="B18" s="10"/>
      <c r="C18" s="10"/>
      <c r="D18" s="10"/>
      <c r="E18" s="10"/>
      <c r="F18" s="10"/>
    </row>
    <row r="19" customFormat="false" ht="49.5" hidden="false" customHeight="true" outlineLevel="0" collapsed="false">
      <c r="A19" s="11" t="s">
        <v>315</v>
      </c>
      <c r="B19" s="12" t="n">
        <v>1</v>
      </c>
      <c r="C19" s="13" t="s">
        <v>316</v>
      </c>
      <c r="D19" s="14"/>
      <c r="E19" s="15" t="s">
        <v>317</v>
      </c>
      <c r="F19" s="16"/>
    </row>
    <row r="20" customFormat="false" ht="49.5" hidden="false" customHeight="true" outlineLevel="0" collapsed="false">
      <c r="A20" s="11" t="s">
        <v>315</v>
      </c>
      <c r="B20" s="12" t="n">
        <v>2</v>
      </c>
      <c r="C20" s="13" t="s">
        <v>318</v>
      </c>
      <c r="D20" s="14"/>
      <c r="E20" s="15" t="s">
        <v>319</v>
      </c>
      <c r="F20" s="16"/>
    </row>
    <row r="21" customFormat="false" ht="25.5" hidden="false" customHeight="true" outlineLevel="0" collapsed="false">
      <c r="A21" s="10" t="s">
        <v>320</v>
      </c>
      <c r="B21" s="10"/>
      <c r="C21" s="10"/>
      <c r="D21" s="10"/>
      <c r="E21" s="10"/>
      <c r="F21" s="10"/>
    </row>
    <row r="22" customFormat="false" ht="49.5" hidden="false" customHeight="true" outlineLevel="0" collapsed="false">
      <c r="A22" s="11" t="s">
        <v>321</v>
      </c>
      <c r="B22" s="12" t="n">
        <v>1</v>
      </c>
      <c r="C22" s="13" t="s">
        <v>322</v>
      </c>
      <c r="D22" s="14"/>
      <c r="E22" s="15" t="s">
        <v>323</v>
      </c>
      <c r="F22" s="16"/>
    </row>
    <row r="23" customFormat="false" ht="49.5" hidden="false" customHeight="true" outlineLevel="0" collapsed="false">
      <c r="A23" s="11" t="s">
        <v>321</v>
      </c>
      <c r="B23" s="12" t="n">
        <v>2</v>
      </c>
      <c r="C23" s="13" t="s">
        <v>324</v>
      </c>
      <c r="D23" s="14"/>
      <c r="E23" s="15" t="s">
        <v>325</v>
      </c>
      <c r="F23" s="16"/>
    </row>
    <row r="24" customFormat="false" ht="49.5" hidden="false" customHeight="true" outlineLevel="0" collapsed="false">
      <c r="A24" s="11" t="s">
        <v>321</v>
      </c>
      <c r="B24" s="12" t="n">
        <v>3</v>
      </c>
      <c r="C24" s="13" t="s">
        <v>326</v>
      </c>
      <c r="D24" s="14"/>
      <c r="E24" s="15" t="s">
        <v>327</v>
      </c>
      <c r="F24" s="16"/>
    </row>
    <row r="25" customFormat="false" ht="25.5" hidden="false" customHeight="true" outlineLevel="0" collapsed="false">
      <c r="A25" s="10" t="s">
        <v>328</v>
      </c>
      <c r="B25" s="10"/>
      <c r="C25" s="10"/>
      <c r="D25" s="10"/>
      <c r="E25" s="10"/>
      <c r="F25" s="10"/>
    </row>
    <row r="26" customFormat="false" ht="49.5" hidden="false" customHeight="true" outlineLevel="0" collapsed="false">
      <c r="A26" s="11" t="s">
        <v>329</v>
      </c>
      <c r="B26" s="12" t="n">
        <v>1</v>
      </c>
      <c r="C26" s="13" t="s">
        <v>330</v>
      </c>
      <c r="D26" s="14"/>
      <c r="E26" s="15" t="s">
        <v>331</v>
      </c>
      <c r="F26" s="16"/>
    </row>
    <row r="27" customFormat="false" ht="49.5" hidden="false" customHeight="true" outlineLevel="0" collapsed="false">
      <c r="A27" s="11" t="s">
        <v>329</v>
      </c>
      <c r="B27" s="12" t="n">
        <v>2</v>
      </c>
      <c r="C27" s="13" t="s">
        <v>332</v>
      </c>
      <c r="D27" s="14"/>
      <c r="E27" s="15" t="s">
        <v>333</v>
      </c>
      <c r="F27" s="16"/>
    </row>
    <row r="28" customFormat="false" ht="25.5" hidden="false" customHeight="true" outlineLevel="0" collapsed="false">
      <c r="A28" s="10" t="s">
        <v>334</v>
      </c>
      <c r="B28" s="10"/>
      <c r="C28" s="10"/>
      <c r="D28" s="10"/>
      <c r="E28" s="10"/>
      <c r="F28" s="10"/>
    </row>
    <row r="29" customFormat="false" ht="49.5" hidden="false" customHeight="true" outlineLevel="0" collapsed="false">
      <c r="A29" s="11" t="s">
        <v>335</v>
      </c>
      <c r="B29" s="12" t="n">
        <v>1</v>
      </c>
      <c r="C29" s="13" t="s">
        <v>336</v>
      </c>
      <c r="D29" s="14"/>
      <c r="E29" s="15" t="s">
        <v>337</v>
      </c>
      <c r="F29" s="16"/>
    </row>
    <row r="30" customFormat="false" ht="49.5" hidden="false" customHeight="true" outlineLevel="0" collapsed="false">
      <c r="A30" s="11" t="s">
        <v>335</v>
      </c>
      <c r="B30" s="12" t="n">
        <v>2</v>
      </c>
      <c r="C30" s="13" t="s">
        <v>338</v>
      </c>
      <c r="D30" s="14"/>
      <c r="E30" s="15" t="s">
        <v>339</v>
      </c>
      <c r="F30" s="16"/>
    </row>
    <row r="31" customFormat="false" ht="49.5" hidden="false" customHeight="true" outlineLevel="0" collapsed="false">
      <c r="A31" s="11" t="s">
        <v>335</v>
      </c>
      <c r="B31" s="12" t="n">
        <v>3</v>
      </c>
      <c r="C31" s="13" t="s">
        <v>340</v>
      </c>
      <c r="D31" s="14"/>
      <c r="E31" s="15" t="s">
        <v>341</v>
      </c>
      <c r="F31" s="16"/>
    </row>
    <row r="32" customFormat="false" ht="25.5" hidden="false" customHeight="true" outlineLevel="0" collapsed="false">
      <c r="A32" s="10" t="s">
        <v>342</v>
      </c>
      <c r="B32" s="10"/>
      <c r="C32" s="10"/>
      <c r="D32" s="10"/>
      <c r="E32" s="10"/>
      <c r="F32" s="10"/>
    </row>
    <row r="33" customFormat="false" ht="49.5" hidden="false" customHeight="true" outlineLevel="0" collapsed="false">
      <c r="A33" s="11" t="s">
        <v>343</v>
      </c>
      <c r="B33" s="12" t="n">
        <v>1</v>
      </c>
      <c r="C33" s="13" t="s">
        <v>344</v>
      </c>
      <c r="D33" s="14"/>
      <c r="E33" s="15" t="s">
        <v>345</v>
      </c>
      <c r="F33" s="16"/>
    </row>
    <row r="34" customFormat="false" ht="49.5" hidden="false" customHeight="true" outlineLevel="0" collapsed="false">
      <c r="A34" s="11" t="s">
        <v>343</v>
      </c>
      <c r="B34" s="12" t="n">
        <v>2</v>
      </c>
      <c r="C34" s="13" t="s">
        <v>346</v>
      </c>
      <c r="D34" s="14"/>
      <c r="E34" s="15" t="s">
        <v>347</v>
      </c>
      <c r="F34" s="16"/>
    </row>
    <row r="35" customFormat="false" ht="49.5" hidden="false" customHeight="true" outlineLevel="0" collapsed="false">
      <c r="A35" s="11" t="s">
        <v>343</v>
      </c>
      <c r="B35" s="12" t="n">
        <v>3</v>
      </c>
      <c r="C35" s="13" t="s">
        <v>348</v>
      </c>
      <c r="D35" s="14"/>
      <c r="E35" s="15" t="s">
        <v>349</v>
      </c>
      <c r="F35" s="16"/>
    </row>
    <row r="37" customFormat="false" ht="24" hidden="false" customHeight="true" outlineLevel="0" collapsed="false">
      <c r="A37" s="17" t="s">
        <v>350</v>
      </c>
      <c r="B37" s="17"/>
      <c r="C37" s="17"/>
      <c r="D37" s="17"/>
      <c r="E37" s="17"/>
      <c r="F37" s="17"/>
    </row>
    <row r="38" customFormat="false" ht="23.85" hidden="false" customHeight="false" outlineLevel="0" collapsed="false">
      <c r="A38" s="18" t="s">
        <v>35</v>
      </c>
      <c r="B38" s="18" t="s">
        <v>60</v>
      </c>
      <c r="C38" s="18" t="s">
        <v>61</v>
      </c>
      <c r="D38" s="18" t="s">
        <v>62</v>
      </c>
      <c r="E38" s="18" t="s">
        <v>63</v>
      </c>
    </row>
    <row r="39" customFormat="false" ht="22.35" hidden="false" customHeight="false" outlineLevel="0" collapsed="false">
      <c r="A39" s="19" t="s">
        <v>291</v>
      </c>
      <c r="B39" s="20" t="n">
        <v>3</v>
      </c>
      <c r="C39" s="21" t="n">
        <f aca="false">SUMPRODUCT((D6:D8&lt;&gt;"TDD")*IFERROR(D6:D8,0))</f>
        <v>0</v>
      </c>
      <c r="D39" s="21" t="n">
        <f aca="false">COUNTIF(D6:D8,"&lt;&gt;TDD")*10</f>
        <v>30</v>
      </c>
      <c r="E39" s="22" t="n">
        <f aca="false">IFERROR(C39/D39,0)</f>
        <v>0</v>
      </c>
    </row>
    <row r="40" customFormat="false" ht="22.35" hidden="false" customHeight="false" outlineLevel="0" collapsed="false">
      <c r="A40" s="19" t="s">
        <v>299</v>
      </c>
      <c r="B40" s="20" t="n">
        <v>2</v>
      </c>
      <c r="C40" s="21" t="n">
        <f aca="false">SUMPRODUCT((D10:D11&lt;&gt;"TDD")*IFERROR(D10:D11,0))</f>
        <v>0</v>
      </c>
      <c r="D40" s="21" t="n">
        <f aca="false">COUNTIF(D10:D11,"&lt;&gt;TDD")*10</f>
        <v>20</v>
      </c>
      <c r="E40" s="22" t="n">
        <f aca="false">IFERROR(C40/D40,0)</f>
        <v>0</v>
      </c>
    </row>
    <row r="41" customFormat="false" ht="22.35" hidden="false" customHeight="false" outlineLevel="0" collapsed="false">
      <c r="A41" s="19" t="s">
        <v>304</v>
      </c>
      <c r="B41" s="20" t="n">
        <v>2</v>
      </c>
      <c r="C41" s="21" t="n">
        <f aca="false">SUMPRODUCT((D13:D14&lt;&gt;"TDD")*IFERROR(D13:D14,0))</f>
        <v>0</v>
      </c>
      <c r="D41" s="21" t="n">
        <f aca="false">COUNTIF(D13:D14,"&lt;&gt;TDD")*10</f>
        <v>20</v>
      </c>
      <c r="E41" s="22" t="n">
        <f aca="false">IFERROR(C41/D41,0)</f>
        <v>0</v>
      </c>
    </row>
    <row r="42" customFormat="false" ht="32.8" hidden="false" customHeight="false" outlineLevel="0" collapsed="false">
      <c r="A42" s="19" t="s">
        <v>309</v>
      </c>
      <c r="B42" s="20" t="n">
        <v>2</v>
      </c>
      <c r="C42" s="21" t="n">
        <f aca="false">SUMPRODUCT((D16:D17&lt;&gt;"TDD")*IFERROR(D16:D17,0))</f>
        <v>0</v>
      </c>
      <c r="D42" s="21" t="n">
        <f aca="false">COUNTIF(D16:D17,"&lt;&gt;TDD")*10</f>
        <v>20</v>
      </c>
      <c r="E42" s="22" t="n">
        <f aca="false">IFERROR(C42/D42,0)</f>
        <v>0</v>
      </c>
    </row>
    <row r="43" customFormat="false" ht="15" hidden="false" customHeight="false" outlineLevel="0" collapsed="false">
      <c r="A43" s="19" t="s">
        <v>315</v>
      </c>
      <c r="B43" s="20" t="n">
        <v>2</v>
      </c>
      <c r="C43" s="21" t="n">
        <f aca="false">SUMPRODUCT((D19:D20&lt;&gt;"TDD")*IFERROR(D19:D20,0))</f>
        <v>0</v>
      </c>
      <c r="D43" s="21" t="n">
        <f aca="false">COUNTIF(D19:D20,"&lt;&gt;TDD")*10</f>
        <v>20</v>
      </c>
      <c r="E43" s="22" t="n">
        <f aca="false">IFERROR(C43/D43,0)</f>
        <v>0</v>
      </c>
    </row>
    <row r="44" customFormat="false" ht="32.8" hidden="false" customHeight="false" outlineLevel="0" collapsed="false">
      <c r="A44" s="19" t="s">
        <v>321</v>
      </c>
      <c r="B44" s="20" t="n">
        <v>3</v>
      </c>
      <c r="C44" s="21" t="n">
        <f aca="false">SUMPRODUCT((D22:D24&lt;&gt;"TDD")*IFERROR(D22:D24,0))</f>
        <v>0</v>
      </c>
      <c r="D44" s="21" t="n">
        <f aca="false">COUNTIF(D22:D24,"&lt;&gt;TDD")*10</f>
        <v>30</v>
      </c>
      <c r="E44" s="22" t="n">
        <f aca="false">IFERROR(C44/D44,0)</f>
        <v>0</v>
      </c>
    </row>
    <row r="45" customFormat="false" ht="32.8" hidden="false" customHeight="false" outlineLevel="0" collapsed="false">
      <c r="A45" s="19" t="s">
        <v>329</v>
      </c>
      <c r="B45" s="20" t="n">
        <v>2</v>
      </c>
      <c r="C45" s="21" t="n">
        <f aca="false">SUMPRODUCT((D26:D27&lt;&gt;"TDD")*IFERROR(D26:D27,0))</f>
        <v>0</v>
      </c>
      <c r="D45" s="21" t="n">
        <f aca="false">COUNTIF(D26:D27,"&lt;&gt;TDD")*10</f>
        <v>20</v>
      </c>
      <c r="E45" s="22" t="n">
        <f aca="false">IFERROR(C45/D45,0)</f>
        <v>0</v>
      </c>
    </row>
    <row r="46" customFormat="false" ht="22.35" hidden="false" customHeight="false" outlineLevel="0" collapsed="false">
      <c r="A46" s="19" t="s">
        <v>335</v>
      </c>
      <c r="B46" s="20" t="n">
        <v>3</v>
      </c>
      <c r="C46" s="21" t="n">
        <f aca="false">SUMPRODUCT((D29:D31&lt;&gt;"TDD")*IFERROR(D29:D31,0))</f>
        <v>0</v>
      </c>
      <c r="D46" s="21" t="n">
        <f aca="false">COUNTIF(D29:D31,"&lt;&gt;TDD")*10</f>
        <v>30</v>
      </c>
      <c r="E46" s="22" t="n">
        <f aca="false">IFERROR(C46/D46,0)</f>
        <v>0</v>
      </c>
    </row>
    <row r="47" customFormat="false" ht="32.8" hidden="false" customHeight="false" outlineLevel="0" collapsed="false">
      <c r="A47" s="19" t="s">
        <v>343</v>
      </c>
      <c r="B47" s="20" t="n">
        <v>3</v>
      </c>
      <c r="C47" s="21" t="n">
        <f aca="false">SUMPRODUCT((D33:D35&lt;&gt;"TDD")*IFERROR(D33:D35,0))</f>
        <v>0</v>
      </c>
      <c r="D47" s="21" t="n">
        <f aca="false">COUNTIF(D33:D35,"&lt;&gt;TDD")*10</f>
        <v>30</v>
      </c>
      <c r="E47" s="22" t="n">
        <f aca="false">IFERROR(C47/D47,0)</f>
        <v>0</v>
      </c>
    </row>
    <row r="48" customFormat="false" ht="15" hidden="false" customHeight="false" outlineLevel="0" collapsed="false">
      <c r="A48" s="23" t="s">
        <v>351</v>
      </c>
      <c r="B48" s="24" t="n">
        <f aca="false">SUM(B39:B47)</f>
        <v>22</v>
      </c>
      <c r="C48" s="23" t="n">
        <f aca="false">SUM(C39:C47)</f>
        <v>0</v>
      </c>
      <c r="D48" s="23" t="n">
        <f aca="false">SUM(D39:D47)</f>
        <v>220</v>
      </c>
      <c r="E48" s="25" t="n">
        <f aca="false">IFERROR(C48/D48,0)</f>
        <v>0</v>
      </c>
    </row>
  </sheetData>
  <mergeCells count="12">
    <mergeCell ref="A1:F1"/>
    <mergeCell ref="A2:F2"/>
    <mergeCell ref="A5:F5"/>
    <mergeCell ref="A9:F9"/>
    <mergeCell ref="A12:F12"/>
    <mergeCell ref="A15:F15"/>
    <mergeCell ref="A18:F18"/>
    <mergeCell ref="A21:F21"/>
    <mergeCell ref="A25:F25"/>
    <mergeCell ref="A28:F28"/>
    <mergeCell ref="A32:F32"/>
    <mergeCell ref="A37:F37"/>
  </mergeCells>
  <dataValidations count="1">
    <dataValidation allowBlank="true" error="Nilai harus 0, 5, 10, atau TDD." errorStyle="stop" errorTitle="Error" operator="between" showDropDown="false" showErrorMessage="true" showInputMessage="false" sqref="D6:D8 D10:D11 D13:D14 D16:D17 D19:D20 D22:D24 D26:D27 D29:D31 D33:D35" type="list">
      <formula1>"10,5,0,TDD"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8"/>
    <col collapsed="false" customWidth="true" hidden="false" outlineLevel="0" max="3" min="3" style="0" width="48"/>
    <col collapsed="false" customWidth="true" hidden="false" outlineLevel="0" max="4" min="4" style="0" width="12"/>
    <col collapsed="false" customWidth="true" hidden="false" outlineLevel="0" max="5" min="5" style="0" width="30"/>
    <col collapsed="false" customWidth="true" hidden="false" outlineLevel="0" max="6" min="6" style="0" width="28"/>
  </cols>
  <sheetData>
    <row r="1" customFormat="false" ht="24" hidden="false" customHeight="true" outlineLevel="0" collapsed="false">
      <c r="A1" s="7" t="s">
        <v>352</v>
      </c>
      <c r="B1" s="7"/>
      <c r="C1" s="7"/>
      <c r="D1" s="7"/>
      <c r="E1" s="7"/>
      <c r="F1" s="7"/>
    </row>
    <row r="2" customFormat="false" ht="27.75" hidden="false" customHeight="true" outlineLevel="0" collapsed="false">
      <c r="A2" s="8" t="s">
        <v>34</v>
      </c>
      <c r="B2" s="8"/>
      <c r="C2" s="8"/>
      <c r="D2" s="8"/>
      <c r="E2" s="8"/>
      <c r="F2" s="8"/>
    </row>
    <row r="4" customFormat="false" ht="27.75" hidden="false" customHeight="true" outlineLevel="0" collapsed="false">
      <c r="A4" s="9" t="s">
        <v>35</v>
      </c>
      <c r="B4" s="9" t="s">
        <v>36</v>
      </c>
      <c r="C4" s="9" t="s">
        <v>37</v>
      </c>
      <c r="D4" s="9" t="s">
        <v>38</v>
      </c>
      <c r="E4" s="9" t="s">
        <v>39</v>
      </c>
      <c r="F4" s="9" t="s">
        <v>40</v>
      </c>
    </row>
    <row r="5" customFormat="false" ht="25.5" hidden="false" customHeight="true" outlineLevel="0" collapsed="false">
      <c r="A5" s="10" t="s">
        <v>353</v>
      </c>
      <c r="B5" s="10"/>
      <c r="C5" s="10"/>
      <c r="D5" s="10"/>
      <c r="E5" s="10"/>
      <c r="F5" s="10"/>
    </row>
    <row r="6" customFormat="false" ht="49.5" hidden="false" customHeight="true" outlineLevel="0" collapsed="false">
      <c r="A6" s="11" t="s">
        <v>354</v>
      </c>
      <c r="B6" s="12" t="n">
        <v>1</v>
      </c>
      <c r="C6" s="13" t="s">
        <v>355</v>
      </c>
      <c r="D6" s="14"/>
      <c r="E6" s="15" t="s">
        <v>356</v>
      </c>
      <c r="F6" s="16"/>
    </row>
    <row r="7" customFormat="false" ht="49.5" hidden="false" customHeight="true" outlineLevel="0" collapsed="false">
      <c r="A7" s="11" t="s">
        <v>354</v>
      </c>
      <c r="B7" s="12" t="n">
        <v>2</v>
      </c>
      <c r="C7" s="13" t="s">
        <v>357</v>
      </c>
      <c r="D7" s="14"/>
      <c r="E7" s="15" t="s">
        <v>358</v>
      </c>
      <c r="F7" s="16"/>
    </row>
    <row r="8" customFormat="false" ht="49.5" hidden="false" customHeight="true" outlineLevel="0" collapsed="false">
      <c r="A8" s="11" t="s">
        <v>354</v>
      </c>
      <c r="B8" s="12" t="n">
        <v>3</v>
      </c>
      <c r="C8" s="13" t="s">
        <v>359</v>
      </c>
      <c r="D8" s="14"/>
      <c r="E8" s="15" t="s">
        <v>360</v>
      </c>
      <c r="F8" s="16"/>
    </row>
    <row r="9" customFormat="false" ht="25.5" hidden="false" customHeight="true" outlineLevel="0" collapsed="false">
      <c r="A9" s="10" t="s">
        <v>361</v>
      </c>
      <c r="B9" s="10"/>
      <c r="C9" s="10"/>
      <c r="D9" s="10"/>
      <c r="E9" s="10"/>
      <c r="F9" s="10"/>
    </row>
    <row r="10" customFormat="false" ht="49.5" hidden="false" customHeight="true" outlineLevel="0" collapsed="false">
      <c r="A10" s="11" t="s">
        <v>362</v>
      </c>
      <c r="B10" s="12" t="n">
        <v>1</v>
      </c>
      <c r="C10" s="13" t="s">
        <v>363</v>
      </c>
      <c r="D10" s="14"/>
      <c r="E10" s="15" t="s">
        <v>364</v>
      </c>
      <c r="F10" s="16"/>
    </row>
    <row r="11" customFormat="false" ht="49.5" hidden="false" customHeight="true" outlineLevel="0" collapsed="false">
      <c r="A11" s="11" t="s">
        <v>362</v>
      </c>
      <c r="B11" s="12" t="n">
        <v>2</v>
      </c>
      <c r="C11" s="13" t="s">
        <v>365</v>
      </c>
      <c r="D11" s="14"/>
      <c r="E11" s="15" t="s">
        <v>366</v>
      </c>
      <c r="F11" s="16"/>
    </row>
    <row r="12" customFormat="false" ht="49.5" hidden="false" customHeight="true" outlineLevel="0" collapsed="false">
      <c r="A12" s="11" t="s">
        <v>362</v>
      </c>
      <c r="B12" s="12" t="n">
        <v>3</v>
      </c>
      <c r="C12" s="13" t="s">
        <v>367</v>
      </c>
      <c r="D12" s="14"/>
      <c r="E12" s="15" t="s">
        <v>368</v>
      </c>
      <c r="F12" s="16"/>
    </row>
    <row r="13" customFormat="false" ht="49.5" hidden="false" customHeight="true" outlineLevel="0" collapsed="false">
      <c r="A13" s="11" t="s">
        <v>362</v>
      </c>
      <c r="B13" s="12" t="n">
        <v>4</v>
      </c>
      <c r="C13" s="13" t="s">
        <v>369</v>
      </c>
      <c r="D13" s="14"/>
      <c r="E13" s="15" t="s">
        <v>370</v>
      </c>
      <c r="F13" s="16"/>
    </row>
    <row r="14" customFormat="false" ht="49.5" hidden="false" customHeight="true" outlineLevel="0" collapsed="false">
      <c r="A14" s="11" t="s">
        <v>362</v>
      </c>
      <c r="B14" s="12" t="n">
        <v>5</v>
      </c>
      <c r="C14" s="13" t="s">
        <v>371</v>
      </c>
      <c r="D14" s="14"/>
      <c r="E14" s="15" t="s">
        <v>372</v>
      </c>
      <c r="F14" s="16"/>
    </row>
    <row r="15" customFormat="false" ht="49.5" hidden="false" customHeight="true" outlineLevel="0" collapsed="false">
      <c r="A15" s="11" t="s">
        <v>362</v>
      </c>
      <c r="B15" s="12" t="n">
        <v>6</v>
      </c>
      <c r="C15" s="13" t="s">
        <v>373</v>
      </c>
      <c r="D15" s="14"/>
      <c r="E15" s="15" t="s">
        <v>374</v>
      </c>
      <c r="F15" s="16"/>
    </row>
    <row r="16" customFormat="false" ht="25.5" hidden="false" customHeight="true" outlineLevel="0" collapsed="false">
      <c r="A16" s="10" t="s">
        <v>375</v>
      </c>
      <c r="B16" s="10"/>
      <c r="C16" s="10"/>
      <c r="D16" s="10"/>
      <c r="E16" s="10"/>
      <c r="F16" s="10"/>
    </row>
    <row r="17" customFormat="false" ht="49.5" hidden="false" customHeight="true" outlineLevel="0" collapsed="false">
      <c r="A17" s="11" t="s">
        <v>376</v>
      </c>
      <c r="B17" s="12" t="n">
        <v>1</v>
      </c>
      <c r="C17" s="13" t="s">
        <v>377</v>
      </c>
      <c r="D17" s="14"/>
      <c r="E17" s="15" t="s">
        <v>378</v>
      </c>
      <c r="F17" s="16"/>
    </row>
    <row r="18" customFormat="false" ht="49.5" hidden="false" customHeight="true" outlineLevel="0" collapsed="false">
      <c r="A18" s="11" t="s">
        <v>376</v>
      </c>
      <c r="B18" s="12" t="n">
        <v>2</v>
      </c>
      <c r="C18" s="13" t="s">
        <v>379</v>
      </c>
      <c r="D18" s="14"/>
      <c r="E18" s="15" t="s">
        <v>380</v>
      </c>
      <c r="F18" s="16"/>
    </row>
    <row r="19" customFormat="false" ht="49.5" hidden="false" customHeight="true" outlineLevel="0" collapsed="false">
      <c r="A19" s="11" t="s">
        <v>376</v>
      </c>
      <c r="B19" s="12" t="n">
        <v>3</v>
      </c>
      <c r="C19" s="13" t="s">
        <v>381</v>
      </c>
      <c r="D19" s="14"/>
      <c r="E19" s="15" t="s">
        <v>382</v>
      </c>
      <c r="F19" s="16"/>
    </row>
    <row r="20" customFormat="false" ht="49.5" hidden="false" customHeight="true" outlineLevel="0" collapsed="false">
      <c r="A20" s="11" t="s">
        <v>376</v>
      </c>
      <c r="B20" s="12" t="n">
        <v>4</v>
      </c>
      <c r="C20" s="13" t="s">
        <v>383</v>
      </c>
      <c r="D20" s="14"/>
      <c r="E20" s="15" t="s">
        <v>384</v>
      </c>
      <c r="F20" s="16"/>
    </row>
    <row r="21" customFormat="false" ht="25.5" hidden="false" customHeight="true" outlineLevel="0" collapsed="false">
      <c r="A21" s="10" t="s">
        <v>385</v>
      </c>
      <c r="B21" s="10"/>
      <c r="C21" s="10"/>
      <c r="D21" s="10"/>
      <c r="E21" s="10"/>
      <c r="F21" s="10"/>
    </row>
    <row r="22" customFormat="false" ht="49.5" hidden="false" customHeight="true" outlineLevel="0" collapsed="false">
      <c r="A22" s="11" t="s">
        <v>386</v>
      </c>
      <c r="B22" s="12" t="n">
        <v>1</v>
      </c>
      <c r="C22" s="13" t="s">
        <v>387</v>
      </c>
      <c r="D22" s="14"/>
      <c r="E22" s="15" t="s">
        <v>388</v>
      </c>
      <c r="F22" s="16"/>
    </row>
    <row r="23" customFormat="false" ht="49.5" hidden="false" customHeight="true" outlineLevel="0" collapsed="false">
      <c r="A23" s="11" t="s">
        <v>386</v>
      </c>
      <c r="B23" s="12" t="n">
        <v>2</v>
      </c>
      <c r="C23" s="13" t="s">
        <v>389</v>
      </c>
      <c r="D23" s="14"/>
      <c r="E23" s="15" t="s">
        <v>390</v>
      </c>
      <c r="F23" s="16"/>
    </row>
    <row r="24" customFormat="false" ht="49.5" hidden="false" customHeight="true" outlineLevel="0" collapsed="false">
      <c r="A24" s="11" t="s">
        <v>386</v>
      </c>
      <c r="B24" s="12" t="n">
        <v>3</v>
      </c>
      <c r="C24" s="13" t="s">
        <v>391</v>
      </c>
      <c r="D24" s="14"/>
      <c r="E24" s="15" t="s">
        <v>392</v>
      </c>
      <c r="F24" s="16"/>
    </row>
    <row r="25" customFormat="false" ht="49.5" hidden="false" customHeight="true" outlineLevel="0" collapsed="false">
      <c r="A25" s="11" t="s">
        <v>386</v>
      </c>
      <c r="B25" s="12" t="n">
        <v>4</v>
      </c>
      <c r="C25" s="13" t="s">
        <v>393</v>
      </c>
      <c r="D25" s="14"/>
      <c r="E25" s="15" t="s">
        <v>394</v>
      </c>
      <c r="F25" s="16"/>
    </row>
    <row r="26" customFormat="false" ht="25.5" hidden="false" customHeight="true" outlineLevel="0" collapsed="false">
      <c r="A26" s="10" t="s">
        <v>395</v>
      </c>
      <c r="B26" s="10"/>
      <c r="C26" s="10"/>
      <c r="D26" s="10"/>
      <c r="E26" s="10"/>
      <c r="F26" s="10"/>
    </row>
    <row r="27" customFormat="false" ht="49.5" hidden="false" customHeight="true" outlineLevel="0" collapsed="false">
      <c r="A27" s="11" t="s">
        <v>396</v>
      </c>
      <c r="B27" s="12" t="n">
        <v>1</v>
      </c>
      <c r="C27" s="13" t="s">
        <v>397</v>
      </c>
      <c r="D27" s="14"/>
      <c r="E27" s="15" t="s">
        <v>398</v>
      </c>
      <c r="F27" s="16"/>
    </row>
    <row r="28" customFormat="false" ht="49.5" hidden="false" customHeight="true" outlineLevel="0" collapsed="false">
      <c r="A28" s="11" t="s">
        <v>396</v>
      </c>
      <c r="B28" s="12" t="n">
        <v>2</v>
      </c>
      <c r="C28" s="13" t="s">
        <v>399</v>
      </c>
      <c r="D28" s="14"/>
      <c r="E28" s="15" t="s">
        <v>400</v>
      </c>
      <c r="F28" s="16"/>
    </row>
    <row r="29" customFormat="false" ht="49.5" hidden="false" customHeight="true" outlineLevel="0" collapsed="false">
      <c r="A29" s="11" t="s">
        <v>396</v>
      </c>
      <c r="B29" s="12" t="n">
        <v>3</v>
      </c>
      <c r="C29" s="13" t="s">
        <v>401</v>
      </c>
      <c r="D29" s="14"/>
      <c r="E29" s="15" t="s">
        <v>402</v>
      </c>
      <c r="F29" s="16"/>
    </row>
    <row r="30" customFormat="false" ht="49.5" hidden="false" customHeight="true" outlineLevel="0" collapsed="false">
      <c r="A30" s="11" t="s">
        <v>396</v>
      </c>
      <c r="B30" s="12" t="n">
        <v>4</v>
      </c>
      <c r="C30" s="13" t="s">
        <v>403</v>
      </c>
      <c r="D30" s="14"/>
      <c r="E30" s="15" t="s">
        <v>404</v>
      </c>
      <c r="F30" s="16"/>
    </row>
    <row r="31" customFormat="false" ht="25.5" hidden="false" customHeight="true" outlineLevel="0" collapsed="false">
      <c r="A31" s="10" t="s">
        <v>405</v>
      </c>
      <c r="B31" s="10"/>
      <c r="C31" s="10"/>
      <c r="D31" s="10"/>
      <c r="E31" s="10"/>
      <c r="F31" s="10"/>
    </row>
    <row r="32" customFormat="false" ht="49.5" hidden="false" customHeight="true" outlineLevel="0" collapsed="false">
      <c r="A32" s="11" t="s">
        <v>406</v>
      </c>
      <c r="B32" s="12" t="n">
        <v>1</v>
      </c>
      <c r="C32" s="13" t="s">
        <v>407</v>
      </c>
      <c r="D32" s="14"/>
      <c r="E32" s="15" t="s">
        <v>408</v>
      </c>
      <c r="F32" s="16"/>
    </row>
    <row r="33" customFormat="false" ht="49.5" hidden="false" customHeight="true" outlineLevel="0" collapsed="false">
      <c r="A33" s="11" t="s">
        <v>406</v>
      </c>
      <c r="B33" s="12" t="n">
        <v>2</v>
      </c>
      <c r="C33" s="13" t="s">
        <v>409</v>
      </c>
      <c r="D33" s="14"/>
      <c r="E33" s="15" t="s">
        <v>410</v>
      </c>
      <c r="F33" s="16"/>
    </row>
    <row r="34" customFormat="false" ht="49.5" hidden="false" customHeight="true" outlineLevel="0" collapsed="false">
      <c r="A34" s="11" t="s">
        <v>406</v>
      </c>
      <c r="B34" s="12" t="n">
        <v>3</v>
      </c>
      <c r="C34" s="13" t="s">
        <v>411</v>
      </c>
      <c r="D34" s="14"/>
      <c r="E34" s="15" t="s">
        <v>412</v>
      </c>
      <c r="F34" s="16"/>
    </row>
    <row r="35" customFormat="false" ht="25.5" hidden="false" customHeight="true" outlineLevel="0" collapsed="false">
      <c r="A35" s="10" t="s">
        <v>413</v>
      </c>
      <c r="B35" s="10"/>
      <c r="C35" s="10"/>
      <c r="D35" s="10"/>
      <c r="E35" s="10"/>
      <c r="F35" s="10"/>
    </row>
    <row r="36" customFormat="false" ht="49.5" hidden="false" customHeight="true" outlineLevel="0" collapsed="false">
      <c r="A36" s="11" t="s">
        <v>414</v>
      </c>
      <c r="B36" s="12" t="n">
        <v>1</v>
      </c>
      <c r="C36" s="13" t="s">
        <v>415</v>
      </c>
      <c r="D36" s="14"/>
      <c r="E36" s="15" t="s">
        <v>416</v>
      </c>
      <c r="F36" s="16"/>
    </row>
    <row r="37" customFormat="false" ht="49.5" hidden="false" customHeight="true" outlineLevel="0" collapsed="false">
      <c r="A37" s="11" t="s">
        <v>414</v>
      </c>
      <c r="B37" s="12" t="n">
        <v>2</v>
      </c>
      <c r="C37" s="13" t="s">
        <v>417</v>
      </c>
      <c r="D37" s="14"/>
      <c r="E37" s="15" t="s">
        <v>418</v>
      </c>
      <c r="F37" s="16"/>
    </row>
    <row r="38" customFormat="false" ht="49.5" hidden="false" customHeight="true" outlineLevel="0" collapsed="false">
      <c r="A38" s="11" t="s">
        <v>414</v>
      </c>
      <c r="B38" s="12" t="n">
        <v>3</v>
      </c>
      <c r="C38" s="13" t="s">
        <v>419</v>
      </c>
      <c r="D38" s="14"/>
      <c r="E38" s="15" t="s">
        <v>420</v>
      </c>
      <c r="F38" s="16"/>
    </row>
    <row r="39" customFormat="false" ht="25.5" hidden="false" customHeight="true" outlineLevel="0" collapsed="false">
      <c r="A39" s="10" t="s">
        <v>421</v>
      </c>
      <c r="B39" s="10"/>
      <c r="C39" s="10"/>
      <c r="D39" s="10"/>
      <c r="E39" s="10"/>
      <c r="F39" s="10"/>
    </row>
    <row r="40" customFormat="false" ht="49.5" hidden="false" customHeight="true" outlineLevel="0" collapsed="false">
      <c r="A40" s="11" t="s">
        <v>422</v>
      </c>
      <c r="B40" s="12" t="n">
        <v>1</v>
      </c>
      <c r="C40" s="13" t="s">
        <v>423</v>
      </c>
      <c r="D40" s="14"/>
      <c r="E40" s="15" t="s">
        <v>424</v>
      </c>
      <c r="F40" s="16"/>
    </row>
    <row r="41" customFormat="false" ht="49.5" hidden="false" customHeight="true" outlineLevel="0" collapsed="false">
      <c r="A41" s="11" t="s">
        <v>422</v>
      </c>
      <c r="B41" s="12" t="n">
        <v>2</v>
      </c>
      <c r="C41" s="13" t="s">
        <v>425</v>
      </c>
      <c r="D41" s="14"/>
      <c r="E41" s="15" t="s">
        <v>426</v>
      </c>
      <c r="F41" s="16"/>
    </row>
    <row r="42" customFormat="false" ht="49.5" hidden="false" customHeight="true" outlineLevel="0" collapsed="false">
      <c r="A42" s="11" t="s">
        <v>422</v>
      </c>
      <c r="B42" s="12" t="n">
        <v>3</v>
      </c>
      <c r="C42" s="13" t="s">
        <v>427</v>
      </c>
      <c r="D42" s="14"/>
      <c r="E42" s="15" t="s">
        <v>428</v>
      </c>
      <c r="F42" s="16"/>
    </row>
    <row r="43" customFormat="false" ht="49.5" hidden="false" customHeight="true" outlineLevel="0" collapsed="false">
      <c r="A43" s="11" t="s">
        <v>422</v>
      </c>
      <c r="B43" s="12" t="n">
        <v>4</v>
      </c>
      <c r="C43" s="13" t="s">
        <v>429</v>
      </c>
      <c r="D43" s="14"/>
      <c r="E43" s="15" t="s">
        <v>430</v>
      </c>
      <c r="F43" s="16"/>
    </row>
    <row r="44" customFormat="false" ht="49.5" hidden="false" customHeight="true" outlineLevel="0" collapsed="false">
      <c r="A44" s="11" t="s">
        <v>422</v>
      </c>
      <c r="B44" s="12" t="n">
        <v>5</v>
      </c>
      <c r="C44" s="13" t="s">
        <v>431</v>
      </c>
      <c r="D44" s="14"/>
      <c r="E44" s="15" t="s">
        <v>432</v>
      </c>
      <c r="F44" s="16"/>
    </row>
    <row r="45" customFormat="false" ht="25.5" hidden="false" customHeight="true" outlineLevel="0" collapsed="false">
      <c r="A45" s="10" t="s">
        <v>433</v>
      </c>
      <c r="B45" s="10"/>
      <c r="C45" s="10"/>
      <c r="D45" s="10"/>
      <c r="E45" s="10"/>
      <c r="F45" s="10"/>
    </row>
    <row r="46" customFormat="false" ht="49.5" hidden="false" customHeight="true" outlineLevel="0" collapsed="false">
      <c r="A46" s="11" t="s">
        <v>434</v>
      </c>
      <c r="B46" s="12" t="n">
        <v>1</v>
      </c>
      <c r="C46" s="13" t="s">
        <v>435</v>
      </c>
      <c r="D46" s="14"/>
      <c r="E46" s="15" t="s">
        <v>436</v>
      </c>
      <c r="F46" s="16"/>
    </row>
    <row r="47" customFormat="false" ht="49.5" hidden="false" customHeight="true" outlineLevel="0" collapsed="false">
      <c r="A47" s="11" t="s">
        <v>434</v>
      </c>
      <c r="B47" s="12" t="n">
        <v>2</v>
      </c>
      <c r="C47" s="13" t="s">
        <v>437</v>
      </c>
      <c r="D47" s="14"/>
      <c r="E47" s="15" t="s">
        <v>438</v>
      </c>
      <c r="F47" s="16"/>
    </row>
    <row r="48" customFormat="false" ht="49.5" hidden="false" customHeight="true" outlineLevel="0" collapsed="false">
      <c r="A48" s="11" t="s">
        <v>434</v>
      </c>
      <c r="B48" s="12" t="n">
        <v>3</v>
      </c>
      <c r="C48" s="13" t="s">
        <v>439</v>
      </c>
      <c r="D48" s="14"/>
      <c r="E48" s="15" t="s">
        <v>440</v>
      </c>
      <c r="F48" s="16"/>
    </row>
    <row r="49" customFormat="false" ht="25.5" hidden="false" customHeight="true" outlineLevel="0" collapsed="false">
      <c r="A49" s="10" t="s">
        <v>441</v>
      </c>
      <c r="B49" s="10"/>
      <c r="C49" s="10"/>
      <c r="D49" s="10"/>
      <c r="E49" s="10"/>
      <c r="F49" s="10"/>
    </row>
    <row r="50" customFormat="false" ht="49.5" hidden="false" customHeight="true" outlineLevel="0" collapsed="false">
      <c r="A50" s="11" t="s">
        <v>442</v>
      </c>
      <c r="B50" s="12" t="n">
        <v>1</v>
      </c>
      <c r="C50" s="13" t="s">
        <v>443</v>
      </c>
      <c r="D50" s="14"/>
      <c r="E50" s="15" t="s">
        <v>444</v>
      </c>
      <c r="F50" s="16"/>
    </row>
    <row r="51" customFormat="false" ht="49.5" hidden="false" customHeight="true" outlineLevel="0" collapsed="false">
      <c r="A51" s="11" t="s">
        <v>442</v>
      </c>
      <c r="B51" s="12" t="n">
        <v>2</v>
      </c>
      <c r="C51" s="13" t="s">
        <v>445</v>
      </c>
      <c r="D51" s="14"/>
      <c r="E51" s="15" t="s">
        <v>446</v>
      </c>
      <c r="F51" s="16"/>
    </row>
    <row r="52" customFormat="false" ht="49.5" hidden="false" customHeight="true" outlineLevel="0" collapsed="false">
      <c r="A52" s="11" t="s">
        <v>442</v>
      </c>
      <c r="B52" s="12" t="n">
        <v>3</v>
      </c>
      <c r="C52" s="13" t="s">
        <v>447</v>
      </c>
      <c r="D52" s="14"/>
      <c r="E52" s="15" t="s">
        <v>448</v>
      </c>
      <c r="F52" s="16"/>
    </row>
    <row r="53" customFormat="false" ht="49.5" hidden="false" customHeight="true" outlineLevel="0" collapsed="false">
      <c r="A53" s="11" t="s">
        <v>442</v>
      </c>
      <c r="B53" s="12" t="n">
        <v>4</v>
      </c>
      <c r="C53" s="13" t="s">
        <v>449</v>
      </c>
      <c r="D53" s="14"/>
      <c r="E53" s="15" t="s">
        <v>450</v>
      </c>
      <c r="F53" s="16"/>
    </row>
    <row r="54" customFormat="false" ht="49.5" hidden="false" customHeight="true" outlineLevel="0" collapsed="false">
      <c r="A54" s="11" t="s">
        <v>442</v>
      </c>
      <c r="B54" s="12" t="n">
        <v>5</v>
      </c>
      <c r="C54" s="13" t="s">
        <v>451</v>
      </c>
      <c r="D54" s="14"/>
      <c r="E54" s="15" t="s">
        <v>452</v>
      </c>
      <c r="F54" s="16"/>
    </row>
    <row r="55" customFormat="false" ht="25.5" hidden="false" customHeight="true" outlineLevel="0" collapsed="false">
      <c r="A55" s="10" t="s">
        <v>453</v>
      </c>
      <c r="B55" s="10"/>
      <c r="C55" s="10"/>
      <c r="D55" s="10"/>
      <c r="E55" s="10"/>
      <c r="F55" s="10"/>
    </row>
    <row r="56" customFormat="false" ht="49.5" hidden="false" customHeight="true" outlineLevel="0" collapsed="false">
      <c r="A56" s="11" t="s">
        <v>454</v>
      </c>
      <c r="B56" s="12" t="n">
        <v>1</v>
      </c>
      <c r="C56" s="13" t="s">
        <v>455</v>
      </c>
      <c r="D56" s="14"/>
      <c r="E56" s="15" t="s">
        <v>456</v>
      </c>
      <c r="F56" s="16"/>
    </row>
    <row r="57" customFormat="false" ht="49.5" hidden="false" customHeight="true" outlineLevel="0" collapsed="false">
      <c r="A57" s="11" t="s">
        <v>454</v>
      </c>
      <c r="B57" s="12" t="n">
        <v>2</v>
      </c>
      <c r="C57" s="13" t="s">
        <v>457</v>
      </c>
      <c r="D57" s="14"/>
      <c r="E57" s="15" t="s">
        <v>458</v>
      </c>
      <c r="F57" s="16"/>
    </row>
    <row r="58" customFormat="false" ht="49.5" hidden="false" customHeight="true" outlineLevel="0" collapsed="false">
      <c r="A58" s="11" t="s">
        <v>454</v>
      </c>
      <c r="B58" s="12" t="n">
        <v>3</v>
      </c>
      <c r="C58" s="13" t="s">
        <v>459</v>
      </c>
      <c r="D58" s="14"/>
      <c r="E58" s="15" t="s">
        <v>460</v>
      </c>
      <c r="F58" s="16"/>
    </row>
    <row r="59" customFormat="false" ht="49.5" hidden="false" customHeight="true" outlineLevel="0" collapsed="false">
      <c r="A59" s="11" t="s">
        <v>454</v>
      </c>
      <c r="B59" s="12" t="n">
        <v>4</v>
      </c>
      <c r="C59" s="13" t="s">
        <v>461</v>
      </c>
      <c r="D59" s="14"/>
      <c r="E59" s="15" t="s">
        <v>462</v>
      </c>
      <c r="F59" s="16"/>
    </row>
    <row r="60" customFormat="false" ht="25.5" hidden="false" customHeight="true" outlineLevel="0" collapsed="false">
      <c r="A60" s="10" t="s">
        <v>463</v>
      </c>
      <c r="B60" s="10"/>
      <c r="C60" s="10"/>
      <c r="D60" s="10"/>
      <c r="E60" s="10"/>
      <c r="F60" s="10"/>
    </row>
    <row r="61" customFormat="false" ht="49.5" hidden="false" customHeight="true" outlineLevel="0" collapsed="false">
      <c r="A61" s="11" t="s">
        <v>464</v>
      </c>
      <c r="B61" s="12" t="n">
        <v>1</v>
      </c>
      <c r="C61" s="13" t="s">
        <v>465</v>
      </c>
      <c r="D61" s="14"/>
      <c r="E61" s="15" t="s">
        <v>466</v>
      </c>
      <c r="F61" s="16"/>
    </row>
    <row r="62" customFormat="false" ht="49.5" hidden="false" customHeight="true" outlineLevel="0" collapsed="false">
      <c r="A62" s="11" t="s">
        <v>464</v>
      </c>
      <c r="B62" s="12" t="n">
        <v>2</v>
      </c>
      <c r="C62" s="13" t="s">
        <v>467</v>
      </c>
      <c r="D62" s="14"/>
      <c r="E62" s="15" t="s">
        <v>468</v>
      </c>
      <c r="F62" s="16"/>
    </row>
    <row r="63" customFormat="false" ht="49.5" hidden="false" customHeight="true" outlineLevel="0" collapsed="false">
      <c r="A63" s="11" t="s">
        <v>464</v>
      </c>
      <c r="B63" s="12" t="n">
        <v>3</v>
      </c>
      <c r="C63" s="13" t="s">
        <v>469</v>
      </c>
      <c r="D63" s="14"/>
      <c r="E63" s="15" t="s">
        <v>470</v>
      </c>
      <c r="F63" s="16"/>
    </row>
    <row r="64" customFormat="false" ht="25.5" hidden="false" customHeight="true" outlineLevel="0" collapsed="false">
      <c r="A64" s="10" t="s">
        <v>471</v>
      </c>
      <c r="B64" s="10"/>
      <c r="C64" s="10"/>
      <c r="D64" s="10"/>
      <c r="E64" s="10"/>
      <c r="F64" s="10"/>
    </row>
    <row r="65" customFormat="false" ht="49.5" hidden="false" customHeight="true" outlineLevel="0" collapsed="false">
      <c r="A65" s="11" t="s">
        <v>472</v>
      </c>
      <c r="B65" s="12" t="n">
        <v>1</v>
      </c>
      <c r="C65" s="13" t="s">
        <v>473</v>
      </c>
      <c r="D65" s="14"/>
      <c r="E65" s="15" t="s">
        <v>474</v>
      </c>
      <c r="F65" s="16"/>
    </row>
    <row r="66" customFormat="false" ht="49.5" hidden="false" customHeight="true" outlineLevel="0" collapsed="false">
      <c r="A66" s="11" t="s">
        <v>472</v>
      </c>
      <c r="B66" s="12" t="n">
        <v>2</v>
      </c>
      <c r="C66" s="13" t="s">
        <v>475</v>
      </c>
      <c r="D66" s="14"/>
      <c r="E66" s="15" t="s">
        <v>476</v>
      </c>
      <c r="F66" s="16"/>
    </row>
    <row r="67" customFormat="false" ht="49.5" hidden="false" customHeight="true" outlineLevel="0" collapsed="false">
      <c r="A67" s="11" t="s">
        <v>472</v>
      </c>
      <c r="B67" s="12" t="n">
        <v>3</v>
      </c>
      <c r="C67" s="13" t="s">
        <v>477</v>
      </c>
      <c r="D67" s="14"/>
      <c r="E67" s="15" t="s">
        <v>478</v>
      </c>
      <c r="F67" s="16"/>
    </row>
    <row r="68" customFormat="false" ht="49.5" hidden="false" customHeight="true" outlineLevel="0" collapsed="false">
      <c r="A68" s="11" t="s">
        <v>472</v>
      </c>
      <c r="B68" s="12" t="n">
        <v>4</v>
      </c>
      <c r="C68" s="13" t="s">
        <v>479</v>
      </c>
      <c r="D68" s="14"/>
      <c r="E68" s="15" t="s">
        <v>480</v>
      </c>
      <c r="F68" s="16"/>
    </row>
    <row r="69" customFormat="false" ht="49.5" hidden="false" customHeight="true" outlineLevel="0" collapsed="false">
      <c r="A69" s="11" t="s">
        <v>472</v>
      </c>
      <c r="B69" s="12" t="n">
        <v>5</v>
      </c>
      <c r="C69" s="13" t="s">
        <v>481</v>
      </c>
      <c r="D69" s="14"/>
      <c r="E69" s="15" t="s">
        <v>482</v>
      </c>
      <c r="F69" s="16"/>
    </row>
    <row r="70" customFormat="false" ht="25.5" hidden="false" customHeight="true" outlineLevel="0" collapsed="false">
      <c r="A70" s="10" t="s">
        <v>483</v>
      </c>
      <c r="B70" s="10"/>
      <c r="C70" s="10"/>
      <c r="D70" s="10"/>
      <c r="E70" s="10"/>
      <c r="F70" s="10"/>
    </row>
    <row r="71" customFormat="false" ht="49.5" hidden="false" customHeight="true" outlineLevel="0" collapsed="false">
      <c r="A71" s="11" t="s">
        <v>484</v>
      </c>
      <c r="B71" s="12" t="n">
        <v>1</v>
      </c>
      <c r="C71" s="13" t="s">
        <v>485</v>
      </c>
      <c r="D71" s="14"/>
      <c r="E71" s="15" t="s">
        <v>486</v>
      </c>
      <c r="F71" s="16"/>
    </row>
    <row r="72" customFormat="false" ht="49.5" hidden="false" customHeight="true" outlineLevel="0" collapsed="false">
      <c r="A72" s="11" t="s">
        <v>484</v>
      </c>
      <c r="B72" s="12" t="n">
        <v>2</v>
      </c>
      <c r="C72" s="13" t="s">
        <v>487</v>
      </c>
      <c r="D72" s="14"/>
      <c r="E72" s="15" t="s">
        <v>488</v>
      </c>
      <c r="F72" s="16"/>
    </row>
    <row r="73" customFormat="false" ht="25.5" hidden="false" customHeight="true" outlineLevel="0" collapsed="false">
      <c r="A73" s="10" t="s">
        <v>489</v>
      </c>
      <c r="B73" s="10"/>
      <c r="C73" s="10"/>
      <c r="D73" s="10"/>
      <c r="E73" s="10"/>
      <c r="F73" s="10"/>
    </row>
    <row r="74" customFormat="false" ht="49.5" hidden="false" customHeight="true" outlineLevel="0" collapsed="false">
      <c r="A74" s="11" t="s">
        <v>490</v>
      </c>
      <c r="B74" s="12" t="n">
        <v>1</v>
      </c>
      <c r="C74" s="13" t="s">
        <v>491</v>
      </c>
      <c r="D74" s="14"/>
      <c r="E74" s="15" t="s">
        <v>492</v>
      </c>
      <c r="F74" s="16"/>
    </row>
    <row r="75" customFormat="false" ht="49.5" hidden="false" customHeight="true" outlineLevel="0" collapsed="false">
      <c r="A75" s="11" t="s">
        <v>490</v>
      </c>
      <c r="B75" s="12" t="n">
        <v>2</v>
      </c>
      <c r="C75" s="13" t="s">
        <v>493</v>
      </c>
      <c r="D75" s="14"/>
      <c r="E75" s="15" t="s">
        <v>494</v>
      </c>
      <c r="F75" s="16"/>
    </row>
    <row r="76" customFormat="false" ht="49.5" hidden="false" customHeight="true" outlineLevel="0" collapsed="false">
      <c r="A76" s="11" t="s">
        <v>490</v>
      </c>
      <c r="B76" s="12" t="n">
        <v>3</v>
      </c>
      <c r="C76" s="13" t="s">
        <v>495</v>
      </c>
      <c r="D76" s="14"/>
      <c r="E76" s="15" t="s">
        <v>496</v>
      </c>
      <c r="F76" s="16"/>
    </row>
    <row r="77" customFormat="false" ht="49.5" hidden="false" customHeight="true" outlineLevel="0" collapsed="false">
      <c r="A77" s="11" t="s">
        <v>490</v>
      </c>
      <c r="B77" s="12" t="n">
        <v>4</v>
      </c>
      <c r="C77" s="13" t="s">
        <v>497</v>
      </c>
      <c r="D77" s="14"/>
      <c r="E77" s="15" t="s">
        <v>498</v>
      </c>
      <c r="F77" s="16"/>
    </row>
    <row r="78" customFormat="false" ht="25.5" hidden="false" customHeight="true" outlineLevel="0" collapsed="false">
      <c r="A78" s="10" t="s">
        <v>499</v>
      </c>
      <c r="B78" s="10"/>
      <c r="C78" s="10"/>
      <c r="D78" s="10"/>
      <c r="E78" s="10"/>
      <c r="F78" s="10"/>
    </row>
    <row r="79" customFormat="false" ht="49.5" hidden="false" customHeight="true" outlineLevel="0" collapsed="false">
      <c r="A79" s="11" t="s">
        <v>500</v>
      </c>
      <c r="B79" s="12" t="n">
        <v>1</v>
      </c>
      <c r="C79" s="13" t="s">
        <v>501</v>
      </c>
      <c r="D79" s="14"/>
      <c r="E79" s="15" t="s">
        <v>502</v>
      </c>
      <c r="F79" s="16"/>
    </row>
    <row r="80" customFormat="false" ht="49.5" hidden="false" customHeight="true" outlineLevel="0" collapsed="false">
      <c r="A80" s="11" t="s">
        <v>500</v>
      </c>
      <c r="B80" s="12" t="n">
        <v>2</v>
      </c>
      <c r="C80" s="13" t="s">
        <v>503</v>
      </c>
      <c r="D80" s="14"/>
      <c r="E80" s="15" t="s">
        <v>504</v>
      </c>
      <c r="F80" s="16"/>
    </row>
    <row r="81" customFormat="false" ht="49.5" hidden="false" customHeight="true" outlineLevel="0" collapsed="false">
      <c r="A81" s="11" t="s">
        <v>500</v>
      </c>
      <c r="B81" s="12" t="n">
        <v>3</v>
      </c>
      <c r="C81" s="13" t="s">
        <v>505</v>
      </c>
      <c r="D81" s="14"/>
      <c r="E81" s="15" t="s">
        <v>506</v>
      </c>
      <c r="F81" s="16"/>
    </row>
    <row r="82" customFormat="false" ht="49.5" hidden="false" customHeight="true" outlineLevel="0" collapsed="false">
      <c r="A82" s="11" t="s">
        <v>500</v>
      </c>
      <c r="B82" s="12" t="n">
        <v>4</v>
      </c>
      <c r="C82" s="13" t="s">
        <v>507</v>
      </c>
      <c r="D82" s="14"/>
      <c r="E82" s="15" t="s">
        <v>508</v>
      </c>
      <c r="F82" s="16"/>
    </row>
    <row r="83" customFormat="false" ht="49.5" hidden="false" customHeight="true" outlineLevel="0" collapsed="false">
      <c r="A83" s="11" t="s">
        <v>500</v>
      </c>
      <c r="B83" s="12" t="n">
        <v>5</v>
      </c>
      <c r="C83" s="13" t="s">
        <v>509</v>
      </c>
      <c r="D83" s="14"/>
      <c r="E83" s="15" t="s">
        <v>510</v>
      </c>
      <c r="F83" s="16"/>
    </row>
    <row r="84" customFormat="false" ht="25.5" hidden="false" customHeight="true" outlineLevel="0" collapsed="false">
      <c r="A84" s="10" t="s">
        <v>511</v>
      </c>
      <c r="B84" s="10"/>
      <c r="C84" s="10"/>
      <c r="D84" s="10"/>
      <c r="E84" s="10"/>
      <c r="F84" s="10"/>
    </row>
    <row r="85" customFormat="false" ht="49.5" hidden="false" customHeight="true" outlineLevel="0" collapsed="false">
      <c r="A85" s="11" t="s">
        <v>512</v>
      </c>
      <c r="B85" s="12" t="n">
        <v>1</v>
      </c>
      <c r="C85" s="13" t="s">
        <v>513</v>
      </c>
      <c r="D85" s="14"/>
      <c r="E85" s="15" t="s">
        <v>514</v>
      </c>
      <c r="F85" s="16"/>
    </row>
    <row r="86" customFormat="false" ht="49.5" hidden="false" customHeight="true" outlineLevel="0" collapsed="false">
      <c r="A86" s="11" t="s">
        <v>512</v>
      </c>
      <c r="B86" s="12" t="n">
        <v>2</v>
      </c>
      <c r="C86" s="13" t="s">
        <v>515</v>
      </c>
      <c r="D86" s="14"/>
      <c r="E86" s="15" t="s">
        <v>516</v>
      </c>
      <c r="F86" s="16"/>
    </row>
    <row r="87" customFormat="false" ht="49.5" hidden="false" customHeight="true" outlineLevel="0" collapsed="false">
      <c r="A87" s="11" t="s">
        <v>512</v>
      </c>
      <c r="B87" s="12" t="n">
        <v>3</v>
      </c>
      <c r="C87" s="13" t="s">
        <v>517</v>
      </c>
      <c r="D87" s="14"/>
      <c r="E87" s="15" t="s">
        <v>518</v>
      </c>
      <c r="F87" s="16"/>
    </row>
    <row r="89" customFormat="false" ht="24" hidden="false" customHeight="true" outlineLevel="0" collapsed="false">
      <c r="A89" s="17" t="s">
        <v>519</v>
      </c>
      <c r="B89" s="17"/>
      <c r="C89" s="17"/>
      <c r="D89" s="17"/>
      <c r="E89" s="17"/>
      <c r="F89" s="17"/>
    </row>
    <row r="90" customFormat="false" ht="23.85" hidden="false" customHeight="false" outlineLevel="0" collapsed="false">
      <c r="A90" s="18" t="s">
        <v>35</v>
      </c>
      <c r="B90" s="18" t="s">
        <v>60</v>
      </c>
      <c r="C90" s="18" t="s">
        <v>61</v>
      </c>
      <c r="D90" s="18" t="s">
        <v>62</v>
      </c>
      <c r="E90" s="18" t="s">
        <v>63</v>
      </c>
    </row>
    <row r="91" customFormat="false" ht="15" hidden="false" customHeight="false" outlineLevel="0" collapsed="false">
      <c r="A91" s="19" t="s">
        <v>354</v>
      </c>
      <c r="B91" s="20" t="n">
        <v>3</v>
      </c>
      <c r="C91" s="21" t="n">
        <f aca="false">SUMPRODUCT((D6:D8&lt;&gt;"TDD")*IFERROR(D6:D8,0))</f>
        <v>0</v>
      </c>
      <c r="D91" s="21" t="n">
        <f aca="false">COUNTIF(D6:D8,"&lt;&gt;TDD")*10</f>
        <v>30</v>
      </c>
      <c r="E91" s="22" t="n">
        <f aca="false">IFERROR(C91/D91,0)</f>
        <v>0</v>
      </c>
    </row>
    <row r="92" customFormat="false" ht="15" hidden="false" customHeight="false" outlineLevel="0" collapsed="false">
      <c r="A92" s="19" t="s">
        <v>362</v>
      </c>
      <c r="B92" s="20" t="n">
        <v>6</v>
      </c>
      <c r="C92" s="21" t="n">
        <f aca="false">SUMPRODUCT((D10:D15&lt;&gt;"TDD")*IFERROR(D10:D15,0))</f>
        <v>0</v>
      </c>
      <c r="D92" s="21" t="n">
        <f aca="false">COUNTIF(D10:D15,"&lt;&gt;TDD")*10</f>
        <v>60</v>
      </c>
      <c r="E92" s="22" t="n">
        <f aca="false">IFERROR(C92/D92,0)</f>
        <v>0</v>
      </c>
    </row>
    <row r="93" customFormat="false" ht="22.35" hidden="false" customHeight="false" outlineLevel="0" collapsed="false">
      <c r="A93" s="19" t="s">
        <v>376</v>
      </c>
      <c r="B93" s="20" t="n">
        <v>4</v>
      </c>
      <c r="C93" s="21" t="n">
        <f aca="false">SUMPRODUCT((D17:D20&lt;&gt;"TDD")*IFERROR(D17:D20,0))</f>
        <v>0</v>
      </c>
      <c r="D93" s="21" t="n">
        <f aca="false">COUNTIF(D17:D20,"&lt;&gt;TDD")*10</f>
        <v>40</v>
      </c>
      <c r="E93" s="22" t="n">
        <f aca="false">IFERROR(C93/D93,0)</f>
        <v>0</v>
      </c>
    </row>
    <row r="94" customFormat="false" ht="22.35" hidden="false" customHeight="false" outlineLevel="0" collapsed="false">
      <c r="A94" s="19" t="s">
        <v>386</v>
      </c>
      <c r="B94" s="20" t="n">
        <v>4</v>
      </c>
      <c r="C94" s="21" t="n">
        <f aca="false">SUMPRODUCT((D22:D25&lt;&gt;"TDD")*IFERROR(D22:D25,0))</f>
        <v>0</v>
      </c>
      <c r="D94" s="21" t="n">
        <f aca="false">COUNTIF(D22:D25,"&lt;&gt;TDD")*10</f>
        <v>40</v>
      </c>
      <c r="E94" s="22" t="n">
        <f aca="false">IFERROR(C94/D94,0)</f>
        <v>0</v>
      </c>
    </row>
    <row r="95" customFormat="false" ht="22.35" hidden="false" customHeight="false" outlineLevel="0" collapsed="false">
      <c r="A95" s="19" t="s">
        <v>396</v>
      </c>
      <c r="B95" s="20" t="n">
        <v>4</v>
      </c>
      <c r="C95" s="21" t="n">
        <f aca="false">SUMPRODUCT((D27:D30&lt;&gt;"TDD")*IFERROR(D27:D30,0))</f>
        <v>0</v>
      </c>
      <c r="D95" s="21" t="n">
        <f aca="false">COUNTIF(D27:D30,"&lt;&gt;TDD")*10</f>
        <v>40</v>
      </c>
      <c r="E95" s="22" t="n">
        <f aca="false">IFERROR(C95/D95,0)</f>
        <v>0</v>
      </c>
    </row>
    <row r="96" customFormat="false" ht="22.35" hidden="false" customHeight="false" outlineLevel="0" collapsed="false">
      <c r="A96" s="19" t="s">
        <v>406</v>
      </c>
      <c r="B96" s="20" t="n">
        <v>3</v>
      </c>
      <c r="C96" s="21" t="n">
        <f aca="false">SUMPRODUCT((D32:D34&lt;&gt;"TDD")*IFERROR(D32:D34,0))</f>
        <v>0</v>
      </c>
      <c r="D96" s="21" t="n">
        <f aca="false">COUNTIF(D32:D34,"&lt;&gt;TDD")*10</f>
        <v>30</v>
      </c>
      <c r="E96" s="22" t="n">
        <f aca="false">IFERROR(C96/D96,0)</f>
        <v>0</v>
      </c>
    </row>
    <row r="97" customFormat="false" ht="22.35" hidden="false" customHeight="false" outlineLevel="0" collapsed="false">
      <c r="A97" s="19" t="s">
        <v>414</v>
      </c>
      <c r="B97" s="20" t="n">
        <v>3</v>
      </c>
      <c r="C97" s="21" t="n">
        <f aca="false">SUMPRODUCT((D36:D38&lt;&gt;"TDD")*IFERROR(D36:D38,0))</f>
        <v>0</v>
      </c>
      <c r="D97" s="21" t="n">
        <f aca="false">COUNTIF(D36:D38,"&lt;&gt;TDD")*10</f>
        <v>30</v>
      </c>
      <c r="E97" s="22" t="n">
        <f aca="false">IFERROR(C97/D97,0)</f>
        <v>0</v>
      </c>
    </row>
    <row r="98" customFormat="false" ht="22.35" hidden="false" customHeight="false" outlineLevel="0" collapsed="false">
      <c r="A98" s="19" t="s">
        <v>422</v>
      </c>
      <c r="B98" s="20" t="n">
        <v>5</v>
      </c>
      <c r="C98" s="21" t="n">
        <f aca="false">SUMPRODUCT((D40:D44&lt;&gt;"TDD")*IFERROR(D40:D44,0))</f>
        <v>0</v>
      </c>
      <c r="D98" s="21" t="n">
        <f aca="false">COUNTIF(D40:D44,"&lt;&gt;TDD")*10</f>
        <v>50</v>
      </c>
      <c r="E98" s="22" t="n">
        <f aca="false">IFERROR(C98/D98,0)</f>
        <v>0</v>
      </c>
    </row>
    <row r="99" customFormat="false" ht="22.35" hidden="false" customHeight="false" outlineLevel="0" collapsed="false">
      <c r="A99" s="19" t="s">
        <v>434</v>
      </c>
      <c r="B99" s="20" t="n">
        <v>3</v>
      </c>
      <c r="C99" s="21" t="n">
        <f aca="false">SUMPRODUCT((D46:D48&lt;&gt;"TDD")*IFERROR(D46:D48,0))</f>
        <v>0</v>
      </c>
      <c r="D99" s="21" t="n">
        <f aca="false">COUNTIF(D46:D48,"&lt;&gt;TDD")*10</f>
        <v>30</v>
      </c>
      <c r="E99" s="22" t="n">
        <f aca="false">IFERROR(C99/D99,0)</f>
        <v>0</v>
      </c>
    </row>
    <row r="100" customFormat="false" ht="22.35" hidden="false" customHeight="false" outlineLevel="0" collapsed="false">
      <c r="A100" s="19" t="s">
        <v>442</v>
      </c>
      <c r="B100" s="20" t="n">
        <v>5</v>
      </c>
      <c r="C100" s="21" t="n">
        <f aca="false">SUMPRODUCT((D50:D54&lt;&gt;"TDD")*IFERROR(D50:D54,0))</f>
        <v>0</v>
      </c>
      <c r="D100" s="21" t="n">
        <f aca="false">COUNTIF(D50:D54,"&lt;&gt;TDD")*10</f>
        <v>50</v>
      </c>
      <c r="E100" s="22" t="n">
        <f aca="false">IFERROR(C100/D100,0)</f>
        <v>0</v>
      </c>
    </row>
    <row r="101" customFormat="false" ht="22.35" hidden="false" customHeight="false" outlineLevel="0" collapsed="false">
      <c r="A101" s="19" t="s">
        <v>454</v>
      </c>
      <c r="B101" s="20" t="n">
        <v>4</v>
      </c>
      <c r="C101" s="21" t="n">
        <f aca="false">SUMPRODUCT((D56:D59&lt;&gt;"TDD")*IFERROR(D56:D59,0))</f>
        <v>0</v>
      </c>
      <c r="D101" s="21" t="n">
        <f aca="false">COUNTIF(D56:D59,"&lt;&gt;TDD")*10</f>
        <v>40</v>
      </c>
      <c r="E101" s="22" t="n">
        <f aca="false">IFERROR(C101/D101,0)</f>
        <v>0</v>
      </c>
    </row>
    <row r="102" customFormat="false" ht="22.35" hidden="false" customHeight="false" outlineLevel="0" collapsed="false">
      <c r="A102" s="19" t="s">
        <v>464</v>
      </c>
      <c r="B102" s="20" t="n">
        <v>3</v>
      </c>
      <c r="C102" s="21" t="n">
        <f aca="false">SUMPRODUCT((D61:D63&lt;&gt;"TDD")*IFERROR(D61:D63,0))</f>
        <v>0</v>
      </c>
      <c r="D102" s="21" t="n">
        <f aca="false">COUNTIF(D61:D63,"&lt;&gt;TDD")*10</f>
        <v>30</v>
      </c>
      <c r="E102" s="22" t="n">
        <f aca="false">IFERROR(C102/D102,0)</f>
        <v>0</v>
      </c>
    </row>
    <row r="103" customFormat="false" ht="22.35" hidden="false" customHeight="false" outlineLevel="0" collapsed="false">
      <c r="A103" s="19" t="s">
        <v>472</v>
      </c>
      <c r="B103" s="20" t="n">
        <v>5</v>
      </c>
      <c r="C103" s="21" t="n">
        <f aca="false">SUMPRODUCT((D65:D69&lt;&gt;"TDD")*IFERROR(D65:D69,0))</f>
        <v>0</v>
      </c>
      <c r="D103" s="21" t="n">
        <f aca="false">COUNTIF(D65:D69,"&lt;&gt;TDD")*10</f>
        <v>50</v>
      </c>
      <c r="E103" s="22" t="n">
        <f aca="false">IFERROR(C103/D103,0)</f>
        <v>0</v>
      </c>
    </row>
    <row r="104" customFormat="false" ht="22.35" hidden="false" customHeight="false" outlineLevel="0" collapsed="false">
      <c r="A104" s="19" t="s">
        <v>484</v>
      </c>
      <c r="B104" s="20" t="n">
        <v>2</v>
      </c>
      <c r="C104" s="21" t="n">
        <f aca="false">SUMPRODUCT((D71:D72&lt;&gt;"TDD")*IFERROR(D71:D72,0))</f>
        <v>0</v>
      </c>
      <c r="D104" s="21" t="n">
        <f aca="false">COUNTIF(D71:D72,"&lt;&gt;TDD")*10</f>
        <v>20</v>
      </c>
      <c r="E104" s="22" t="n">
        <f aca="false">IFERROR(C104/D104,0)</f>
        <v>0</v>
      </c>
    </row>
    <row r="105" customFormat="false" ht="22.35" hidden="false" customHeight="false" outlineLevel="0" collapsed="false">
      <c r="A105" s="19" t="s">
        <v>490</v>
      </c>
      <c r="B105" s="20" t="n">
        <v>4</v>
      </c>
      <c r="C105" s="21" t="n">
        <f aca="false">SUMPRODUCT((D74:D77&lt;&gt;"TDD")*IFERROR(D74:D77,0))</f>
        <v>0</v>
      </c>
      <c r="D105" s="21" t="n">
        <f aca="false">COUNTIF(D74:D77,"&lt;&gt;TDD")*10</f>
        <v>40</v>
      </c>
      <c r="E105" s="22" t="n">
        <f aca="false">IFERROR(C105/D105,0)</f>
        <v>0</v>
      </c>
    </row>
    <row r="106" customFormat="false" ht="22.35" hidden="false" customHeight="false" outlineLevel="0" collapsed="false">
      <c r="A106" s="19" t="s">
        <v>500</v>
      </c>
      <c r="B106" s="20" t="n">
        <v>5</v>
      </c>
      <c r="C106" s="21" t="n">
        <f aca="false">SUMPRODUCT((D79:D83&lt;&gt;"TDD")*IFERROR(D79:D83,0))</f>
        <v>0</v>
      </c>
      <c r="D106" s="21" t="n">
        <f aca="false">COUNTIF(D79:D83,"&lt;&gt;TDD")*10</f>
        <v>50</v>
      </c>
      <c r="E106" s="22" t="n">
        <f aca="false">IFERROR(C106/D106,0)</f>
        <v>0</v>
      </c>
    </row>
    <row r="107" customFormat="false" ht="22.35" hidden="false" customHeight="false" outlineLevel="0" collapsed="false">
      <c r="A107" s="19" t="s">
        <v>512</v>
      </c>
      <c r="B107" s="20" t="n">
        <v>3</v>
      </c>
      <c r="C107" s="21" t="n">
        <f aca="false">SUMPRODUCT((D85:D87&lt;&gt;"TDD")*IFERROR(D85:D87,0))</f>
        <v>0</v>
      </c>
      <c r="D107" s="21" t="n">
        <f aca="false">COUNTIF(D85:D87,"&lt;&gt;TDD")*10</f>
        <v>30</v>
      </c>
      <c r="E107" s="22" t="n">
        <f aca="false">IFERROR(C107/D107,0)</f>
        <v>0</v>
      </c>
    </row>
    <row r="108" customFormat="false" ht="15" hidden="false" customHeight="false" outlineLevel="0" collapsed="false">
      <c r="A108" s="23" t="s">
        <v>520</v>
      </c>
      <c r="B108" s="24" t="n">
        <f aca="false">SUM(B91:B107)</f>
        <v>66</v>
      </c>
      <c r="C108" s="23" t="n">
        <f aca="false">SUM(C91:C107)</f>
        <v>0</v>
      </c>
      <c r="D108" s="23" t="n">
        <f aca="false">SUM(D91:D107)</f>
        <v>660</v>
      </c>
      <c r="E108" s="25" t="n">
        <f aca="false">IFERROR(C108/D108,0)</f>
        <v>0</v>
      </c>
    </row>
  </sheetData>
  <mergeCells count="20">
    <mergeCell ref="A1:F1"/>
    <mergeCell ref="A2:F2"/>
    <mergeCell ref="A5:F5"/>
    <mergeCell ref="A9:F9"/>
    <mergeCell ref="A16:F16"/>
    <mergeCell ref="A21:F21"/>
    <mergeCell ref="A26:F26"/>
    <mergeCell ref="A31:F31"/>
    <mergeCell ref="A35:F35"/>
    <mergeCell ref="A39:F39"/>
    <mergeCell ref="A45:F45"/>
    <mergeCell ref="A49:F49"/>
    <mergeCell ref="A55:F55"/>
    <mergeCell ref="A60:F60"/>
    <mergeCell ref="A64:F64"/>
    <mergeCell ref="A70:F70"/>
    <mergeCell ref="A73:F73"/>
    <mergeCell ref="A78:F78"/>
    <mergeCell ref="A84:F84"/>
    <mergeCell ref="A89:F89"/>
  </mergeCells>
  <dataValidations count="1">
    <dataValidation allowBlank="true" error="Nilai harus 0, 5, 10, atau TDD." errorStyle="stop" errorTitle="Error" operator="between" showDropDown="false" showErrorMessage="true" showInputMessage="false" sqref="D6:D8 D10:D15 D17:D20 D22:D25 D27:D30 D32:D34 D36:D38 D40:D44 D46:D48 D50:D54 D56:D59 D61:D63 D65:D69 D71:D72 D74:D77 D79:D83 D85:D87" type="list">
      <formula1>"10,5,0,TDD"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8"/>
    <col collapsed="false" customWidth="true" hidden="false" outlineLevel="0" max="3" min="3" style="0" width="48"/>
    <col collapsed="false" customWidth="true" hidden="false" outlineLevel="0" max="4" min="4" style="0" width="12"/>
    <col collapsed="false" customWidth="true" hidden="false" outlineLevel="0" max="5" min="5" style="0" width="30"/>
    <col collapsed="false" customWidth="true" hidden="false" outlineLevel="0" max="6" min="6" style="0" width="28"/>
  </cols>
  <sheetData>
    <row r="1" customFormat="false" ht="24" hidden="false" customHeight="true" outlineLevel="0" collapsed="false">
      <c r="A1" s="7" t="s">
        <v>521</v>
      </c>
      <c r="B1" s="7"/>
      <c r="C1" s="7"/>
      <c r="D1" s="7"/>
      <c r="E1" s="7"/>
      <c r="F1" s="7"/>
    </row>
    <row r="2" customFormat="false" ht="27.75" hidden="false" customHeight="true" outlineLevel="0" collapsed="false">
      <c r="A2" s="8" t="s">
        <v>34</v>
      </c>
      <c r="B2" s="8"/>
      <c r="C2" s="8"/>
      <c r="D2" s="8"/>
      <c r="E2" s="8"/>
      <c r="F2" s="8"/>
    </row>
    <row r="4" customFormat="false" ht="27.75" hidden="false" customHeight="true" outlineLevel="0" collapsed="false">
      <c r="A4" s="9" t="s">
        <v>35</v>
      </c>
      <c r="B4" s="9" t="s">
        <v>36</v>
      </c>
      <c r="C4" s="9" t="s">
        <v>37</v>
      </c>
      <c r="D4" s="9" t="s">
        <v>38</v>
      </c>
      <c r="E4" s="9" t="s">
        <v>39</v>
      </c>
      <c r="F4" s="9" t="s">
        <v>40</v>
      </c>
    </row>
    <row r="5" customFormat="false" ht="25.5" hidden="false" customHeight="true" outlineLevel="0" collapsed="false">
      <c r="A5" s="10" t="s">
        <v>522</v>
      </c>
      <c r="B5" s="10"/>
      <c r="C5" s="10"/>
      <c r="D5" s="10"/>
      <c r="E5" s="10"/>
      <c r="F5" s="10"/>
    </row>
    <row r="6" customFormat="false" ht="49.5" hidden="false" customHeight="true" outlineLevel="0" collapsed="false">
      <c r="A6" s="11" t="s">
        <v>523</v>
      </c>
      <c r="B6" s="12" t="n">
        <v>1</v>
      </c>
      <c r="C6" s="13" t="s">
        <v>524</v>
      </c>
      <c r="D6" s="14"/>
      <c r="E6" s="15" t="s">
        <v>525</v>
      </c>
      <c r="F6" s="16"/>
    </row>
    <row r="7" customFormat="false" ht="49.5" hidden="false" customHeight="true" outlineLevel="0" collapsed="false">
      <c r="A7" s="11" t="s">
        <v>523</v>
      </c>
      <c r="B7" s="12" t="n">
        <v>2</v>
      </c>
      <c r="C7" s="13" t="s">
        <v>526</v>
      </c>
      <c r="D7" s="14"/>
      <c r="E7" s="15" t="s">
        <v>527</v>
      </c>
      <c r="F7" s="16"/>
    </row>
    <row r="8" customFormat="false" ht="49.5" hidden="false" customHeight="true" outlineLevel="0" collapsed="false">
      <c r="A8" s="11" t="s">
        <v>523</v>
      </c>
      <c r="B8" s="12" t="n">
        <v>3</v>
      </c>
      <c r="C8" s="13" t="s">
        <v>528</v>
      </c>
      <c r="D8" s="14"/>
      <c r="E8" s="15" t="s">
        <v>529</v>
      </c>
      <c r="F8" s="16"/>
    </row>
    <row r="9" customFormat="false" ht="25.5" hidden="false" customHeight="true" outlineLevel="0" collapsed="false">
      <c r="A9" s="10" t="s">
        <v>530</v>
      </c>
      <c r="B9" s="10"/>
      <c r="C9" s="10"/>
      <c r="D9" s="10"/>
      <c r="E9" s="10"/>
      <c r="F9" s="10"/>
    </row>
    <row r="10" customFormat="false" ht="49.5" hidden="false" customHeight="true" outlineLevel="0" collapsed="false">
      <c r="A10" s="11" t="s">
        <v>531</v>
      </c>
      <c r="B10" s="12" t="n">
        <v>1</v>
      </c>
      <c r="C10" s="13" t="s">
        <v>532</v>
      </c>
      <c r="D10" s="14"/>
      <c r="E10" s="15" t="s">
        <v>533</v>
      </c>
      <c r="F10" s="16"/>
    </row>
    <row r="11" customFormat="false" ht="49.5" hidden="false" customHeight="true" outlineLevel="0" collapsed="false">
      <c r="A11" s="11" t="s">
        <v>531</v>
      </c>
      <c r="B11" s="12" t="n">
        <v>2</v>
      </c>
      <c r="C11" s="13" t="s">
        <v>534</v>
      </c>
      <c r="D11" s="14"/>
      <c r="E11" s="15" t="s">
        <v>535</v>
      </c>
      <c r="F11" s="16"/>
    </row>
    <row r="12" customFormat="false" ht="49.5" hidden="false" customHeight="true" outlineLevel="0" collapsed="false">
      <c r="A12" s="11" t="s">
        <v>531</v>
      </c>
      <c r="B12" s="12" t="n">
        <v>3</v>
      </c>
      <c r="C12" s="13" t="s">
        <v>536</v>
      </c>
      <c r="D12" s="14"/>
      <c r="E12" s="15" t="s">
        <v>537</v>
      </c>
      <c r="F12" s="16"/>
    </row>
    <row r="13" customFormat="false" ht="49.5" hidden="false" customHeight="true" outlineLevel="0" collapsed="false">
      <c r="A13" s="11" t="s">
        <v>531</v>
      </c>
      <c r="B13" s="12" t="n">
        <v>4</v>
      </c>
      <c r="C13" s="13" t="s">
        <v>538</v>
      </c>
      <c r="D13" s="14"/>
      <c r="E13" s="15" t="s">
        <v>539</v>
      </c>
      <c r="F13" s="16"/>
    </row>
    <row r="14" customFormat="false" ht="25.5" hidden="false" customHeight="true" outlineLevel="0" collapsed="false">
      <c r="A14" s="10" t="s">
        <v>540</v>
      </c>
      <c r="B14" s="10"/>
      <c r="C14" s="10"/>
      <c r="D14" s="10"/>
      <c r="E14" s="10"/>
      <c r="F14" s="10"/>
    </row>
    <row r="15" customFormat="false" ht="49.5" hidden="false" customHeight="true" outlineLevel="0" collapsed="false">
      <c r="A15" s="11" t="s">
        <v>541</v>
      </c>
      <c r="B15" s="12" t="n">
        <v>1</v>
      </c>
      <c r="C15" s="13" t="s">
        <v>542</v>
      </c>
      <c r="D15" s="14"/>
      <c r="E15" s="15" t="s">
        <v>543</v>
      </c>
      <c r="F15" s="16"/>
    </row>
    <row r="16" customFormat="false" ht="49.5" hidden="false" customHeight="true" outlineLevel="0" collapsed="false">
      <c r="A16" s="11" t="s">
        <v>541</v>
      </c>
      <c r="B16" s="12" t="n">
        <v>2</v>
      </c>
      <c r="C16" s="13" t="s">
        <v>544</v>
      </c>
      <c r="D16" s="14"/>
      <c r="E16" s="15" t="s">
        <v>545</v>
      </c>
      <c r="F16" s="16"/>
    </row>
    <row r="17" customFormat="false" ht="25.5" hidden="false" customHeight="true" outlineLevel="0" collapsed="false">
      <c r="A17" s="10" t="s">
        <v>546</v>
      </c>
      <c r="B17" s="10"/>
      <c r="C17" s="10"/>
      <c r="D17" s="10"/>
      <c r="E17" s="10"/>
      <c r="F17" s="10"/>
    </row>
    <row r="18" customFormat="false" ht="49.5" hidden="false" customHeight="true" outlineLevel="0" collapsed="false">
      <c r="A18" s="11" t="s">
        <v>547</v>
      </c>
      <c r="B18" s="12" t="n">
        <v>1</v>
      </c>
      <c r="C18" s="13" t="s">
        <v>548</v>
      </c>
      <c r="D18" s="14"/>
      <c r="E18" s="15" t="s">
        <v>549</v>
      </c>
      <c r="F18" s="16"/>
    </row>
    <row r="19" customFormat="false" ht="49.5" hidden="false" customHeight="true" outlineLevel="0" collapsed="false">
      <c r="A19" s="11" t="s">
        <v>547</v>
      </c>
      <c r="B19" s="12" t="n">
        <v>2</v>
      </c>
      <c r="C19" s="13" t="s">
        <v>550</v>
      </c>
      <c r="D19" s="14"/>
      <c r="E19" s="15" t="s">
        <v>551</v>
      </c>
      <c r="F19" s="16"/>
    </row>
    <row r="20" customFormat="false" ht="25.5" hidden="false" customHeight="true" outlineLevel="0" collapsed="false">
      <c r="A20" s="10" t="s">
        <v>552</v>
      </c>
      <c r="B20" s="10"/>
      <c r="C20" s="10"/>
      <c r="D20" s="10"/>
      <c r="E20" s="10"/>
      <c r="F20" s="10"/>
    </row>
    <row r="21" customFormat="false" ht="49.5" hidden="false" customHeight="true" outlineLevel="0" collapsed="false">
      <c r="A21" s="11" t="s">
        <v>553</v>
      </c>
      <c r="B21" s="12" t="n">
        <v>1</v>
      </c>
      <c r="C21" s="13" t="s">
        <v>554</v>
      </c>
      <c r="D21" s="14"/>
      <c r="E21" s="15" t="s">
        <v>555</v>
      </c>
      <c r="F21" s="16"/>
    </row>
    <row r="22" customFormat="false" ht="49.5" hidden="false" customHeight="true" outlineLevel="0" collapsed="false">
      <c r="A22" s="11" t="s">
        <v>553</v>
      </c>
      <c r="B22" s="12" t="n">
        <v>2</v>
      </c>
      <c r="C22" s="13" t="s">
        <v>556</v>
      </c>
      <c r="D22" s="14"/>
      <c r="E22" s="15" t="s">
        <v>557</v>
      </c>
      <c r="F22" s="16"/>
    </row>
    <row r="23" customFormat="false" ht="49.5" hidden="false" customHeight="true" outlineLevel="0" collapsed="false">
      <c r="A23" s="11" t="s">
        <v>553</v>
      </c>
      <c r="B23" s="12" t="n">
        <v>3</v>
      </c>
      <c r="C23" s="13" t="s">
        <v>558</v>
      </c>
      <c r="D23" s="14"/>
      <c r="E23" s="15" t="s">
        <v>559</v>
      </c>
      <c r="F23" s="16"/>
    </row>
    <row r="24" customFormat="false" ht="49.5" hidden="false" customHeight="true" outlineLevel="0" collapsed="false">
      <c r="A24" s="11" t="s">
        <v>553</v>
      </c>
      <c r="B24" s="12" t="n">
        <v>4</v>
      </c>
      <c r="C24" s="13" t="s">
        <v>560</v>
      </c>
      <c r="D24" s="14"/>
      <c r="E24" s="15" t="s">
        <v>561</v>
      </c>
      <c r="F24" s="16"/>
    </row>
    <row r="25" customFormat="false" ht="25.5" hidden="false" customHeight="true" outlineLevel="0" collapsed="false">
      <c r="A25" s="10" t="s">
        <v>562</v>
      </c>
      <c r="B25" s="10"/>
      <c r="C25" s="10"/>
      <c r="D25" s="10"/>
      <c r="E25" s="10"/>
      <c r="F25" s="10"/>
    </row>
    <row r="26" customFormat="false" ht="49.5" hidden="false" customHeight="true" outlineLevel="0" collapsed="false">
      <c r="A26" s="11" t="s">
        <v>563</v>
      </c>
      <c r="B26" s="12" t="n">
        <v>1</v>
      </c>
      <c r="C26" s="13" t="s">
        <v>564</v>
      </c>
      <c r="D26" s="14"/>
      <c r="E26" s="15" t="s">
        <v>565</v>
      </c>
      <c r="F26" s="16"/>
    </row>
    <row r="27" customFormat="false" ht="49.5" hidden="false" customHeight="true" outlineLevel="0" collapsed="false">
      <c r="A27" s="11" t="s">
        <v>563</v>
      </c>
      <c r="B27" s="12" t="n">
        <v>2</v>
      </c>
      <c r="C27" s="13" t="s">
        <v>566</v>
      </c>
      <c r="D27" s="14"/>
      <c r="E27" s="15" t="s">
        <v>567</v>
      </c>
      <c r="F27" s="16"/>
    </row>
    <row r="28" customFormat="false" ht="49.5" hidden="false" customHeight="true" outlineLevel="0" collapsed="false">
      <c r="A28" s="11" t="s">
        <v>563</v>
      </c>
      <c r="B28" s="12" t="n">
        <v>3</v>
      </c>
      <c r="C28" s="13" t="s">
        <v>568</v>
      </c>
      <c r="D28" s="14"/>
      <c r="E28" s="15" t="s">
        <v>569</v>
      </c>
      <c r="F28" s="16"/>
    </row>
    <row r="29" customFormat="false" ht="25.5" hidden="false" customHeight="true" outlineLevel="0" collapsed="false">
      <c r="A29" s="10" t="s">
        <v>570</v>
      </c>
      <c r="B29" s="10"/>
      <c r="C29" s="10"/>
      <c r="D29" s="10"/>
      <c r="E29" s="10"/>
      <c r="F29" s="10"/>
    </row>
    <row r="30" customFormat="false" ht="49.5" hidden="false" customHeight="true" outlineLevel="0" collapsed="false">
      <c r="A30" s="11" t="s">
        <v>571</v>
      </c>
      <c r="B30" s="12" t="n">
        <v>1</v>
      </c>
      <c r="C30" s="13" t="s">
        <v>572</v>
      </c>
      <c r="D30" s="14"/>
      <c r="E30" s="15" t="s">
        <v>573</v>
      </c>
      <c r="F30" s="16"/>
    </row>
    <row r="31" customFormat="false" ht="49.5" hidden="false" customHeight="true" outlineLevel="0" collapsed="false">
      <c r="A31" s="11" t="s">
        <v>571</v>
      </c>
      <c r="B31" s="12" t="n">
        <v>2</v>
      </c>
      <c r="C31" s="13" t="s">
        <v>574</v>
      </c>
      <c r="D31" s="14"/>
      <c r="E31" s="15" t="s">
        <v>575</v>
      </c>
      <c r="F31" s="16"/>
    </row>
    <row r="32" customFormat="false" ht="49.5" hidden="false" customHeight="true" outlineLevel="0" collapsed="false">
      <c r="A32" s="11" t="s">
        <v>571</v>
      </c>
      <c r="B32" s="12" t="n">
        <v>3</v>
      </c>
      <c r="C32" s="13" t="s">
        <v>576</v>
      </c>
      <c r="D32" s="14"/>
      <c r="E32" s="15" t="s">
        <v>577</v>
      </c>
      <c r="F32" s="16"/>
    </row>
    <row r="33" customFormat="false" ht="49.5" hidden="false" customHeight="true" outlineLevel="0" collapsed="false">
      <c r="A33" s="11" t="s">
        <v>571</v>
      </c>
      <c r="B33" s="12" t="n">
        <v>4</v>
      </c>
      <c r="C33" s="13" t="s">
        <v>578</v>
      </c>
      <c r="D33" s="14"/>
      <c r="E33" s="15" t="s">
        <v>579</v>
      </c>
      <c r="F33" s="16"/>
    </row>
    <row r="34" customFormat="false" ht="49.5" hidden="false" customHeight="true" outlineLevel="0" collapsed="false">
      <c r="A34" s="11" t="s">
        <v>571</v>
      </c>
      <c r="B34" s="12" t="n">
        <v>5</v>
      </c>
      <c r="C34" s="13" t="s">
        <v>580</v>
      </c>
      <c r="D34" s="14"/>
      <c r="E34" s="15" t="s">
        <v>581</v>
      </c>
      <c r="F34" s="16"/>
    </row>
    <row r="35" customFormat="false" ht="25.5" hidden="false" customHeight="true" outlineLevel="0" collapsed="false">
      <c r="A35" s="10" t="s">
        <v>582</v>
      </c>
      <c r="B35" s="10"/>
      <c r="C35" s="10"/>
      <c r="D35" s="10"/>
      <c r="E35" s="10"/>
      <c r="F35" s="10"/>
    </row>
    <row r="36" customFormat="false" ht="49.5" hidden="false" customHeight="true" outlineLevel="0" collapsed="false">
      <c r="A36" s="11" t="s">
        <v>583</v>
      </c>
      <c r="B36" s="12" t="n">
        <v>1</v>
      </c>
      <c r="C36" s="13" t="s">
        <v>584</v>
      </c>
      <c r="D36" s="14"/>
      <c r="E36" s="15" t="s">
        <v>585</v>
      </c>
      <c r="F36" s="16"/>
    </row>
    <row r="37" customFormat="false" ht="49.5" hidden="false" customHeight="true" outlineLevel="0" collapsed="false">
      <c r="A37" s="11" t="s">
        <v>583</v>
      </c>
      <c r="B37" s="12" t="n">
        <v>2</v>
      </c>
      <c r="C37" s="13" t="s">
        <v>586</v>
      </c>
      <c r="D37" s="14"/>
      <c r="E37" s="15" t="s">
        <v>587</v>
      </c>
      <c r="F37" s="16"/>
    </row>
    <row r="38" customFormat="false" ht="49.5" hidden="false" customHeight="true" outlineLevel="0" collapsed="false">
      <c r="A38" s="11" t="s">
        <v>583</v>
      </c>
      <c r="B38" s="12" t="n">
        <v>3</v>
      </c>
      <c r="C38" s="13" t="s">
        <v>588</v>
      </c>
      <c r="D38" s="14"/>
      <c r="E38" s="15" t="s">
        <v>589</v>
      </c>
      <c r="F38" s="16"/>
    </row>
    <row r="39" customFormat="false" ht="25.5" hidden="false" customHeight="true" outlineLevel="0" collapsed="false">
      <c r="A39" s="10" t="s">
        <v>590</v>
      </c>
      <c r="B39" s="10"/>
      <c r="C39" s="10"/>
      <c r="D39" s="10"/>
      <c r="E39" s="10"/>
      <c r="F39" s="10"/>
    </row>
    <row r="40" customFormat="false" ht="49.5" hidden="false" customHeight="true" outlineLevel="0" collapsed="false">
      <c r="A40" s="11" t="s">
        <v>591</v>
      </c>
      <c r="B40" s="12" t="n">
        <v>1</v>
      </c>
      <c r="C40" s="13" t="s">
        <v>592</v>
      </c>
      <c r="D40" s="14"/>
      <c r="E40" s="15" t="s">
        <v>593</v>
      </c>
      <c r="F40" s="16"/>
    </row>
    <row r="41" customFormat="false" ht="49.5" hidden="false" customHeight="true" outlineLevel="0" collapsed="false">
      <c r="A41" s="11" t="s">
        <v>591</v>
      </c>
      <c r="B41" s="12" t="n">
        <v>2</v>
      </c>
      <c r="C41" s="13" t="s">
        <v>594</v>
      </c>
      <c r="D41" s="14"/>
      <c r="E41" s="15" t="s">
        <v>595</v>
      </c>
      <c r="F41" s="16"/>
    </row>
    <row r="42" customFormat="false" ht="49.5" hidden="false" customHeight="true" outlineLevel="0" collapsed="false">
      <c r="A42" s="11" t="s">
        <v>591</v>
      </c>
      <c r="B42" s="12" t="n">
        <v>3</v>
      </c>
      <c r="C42" s="13" t="s">
        <v>596</v>
      </c>
      <c r="D42" s="14"/>
      <c r="E42" s="15" t="s">
        <v>597</v>
      </c>
      <c r="F42" s="16"/>
    </row>
    <row r="43" customFormat="false" ht="49.5" hidden="false" customHeight="true" outlineLevel="0" collapsed="false">
      <c r="A43" s="11" t="s">
        <v>591</v>
      </c>
      <c r="B43" s="12" t="n">
        <v>4</v>
      </c>
      <c r="C43" s="13" t="s">
        <v>598</v>
      </c>
      <c r="D43" s="14"/>
      <c r="E43" s="15" t="s">
        <v>599</v>
      </c>
      <c r="F43" s="16"/>
    </row>
    <row r="44" customFormat="false" ht="25.5" hidden="false" customHeight="true" outlineLevel="0" collapsed="false">
      <c r="A44" s="10" t="s">
        <v>600</v>
      </c>
      <c r="B44" s="10"/>
      <c r="C44" s="10"/>
      <c r="D44" s="10"/>
      <c r="E44" s="10"/>
      <c r="F44" s="10"/>
    </row>
    <row r="45" customFormat="false" ht="49.5" hidden="false" customHeight="true" outlineLevel="0" collapsed="false">
      <c r="A45" s="11" t="s">
        <v>601</v>
      </c>
      <c r="B45" s="12" t="n">
        <v>1</v>
      </c>
      <c r="C45" s="13" t="s">
        <v>602</v>
      </c>
      <c r="D45" s="14"/>
      <c r="E45" s="15" t="s">
        <v>603</v>
      </c>
      <c r="F45" s="16"/>
    </row>
    <row r="46" customFormat="false" ht="49.5" hidden="false" customHeight="true" outlineLevel="0" collapsed="false">
      <c r="A46" s="11" t="s">
        <v>601</v>
      </c>
      <c r="B46" s="12" t="n">
        <v>2</v>
      </c>
      <c r="C46" s="13" t="s">
        <v>604</v>
      </c>
      <c r="D46" s="14"/>
      <c r="E46" s="15" t="s">
        <v>605</v>
      </c>
      <c r="F46" s="16"/>
    </row>
    <row r="47" customFormat="false" ht="49.5" hidden="false" customHeight="true" outlineLevel="0" collapsed="false">
      <c r="A47" s="11" t="s">
        <v>601</v>
      </c>
      <c r="B47" s="12" t="n">
        <v>3</v>
      </c>
      <c r="C47" s="13" t="s">
        <v>606</v>
      </c>
      <c r="D47" s="14"/>
      <c r="E47" s="15" t="s">
        <v>607</v>
      </c>
      <c r="F47" s="16"/>
    </row>
    <row r="48" customFormat="false" ht="49.5" hidden="false" customHeight="true" outlineLevel="0" collapsed="false">
      <c r="A48" s="11" t="s">
        <v>601</v>
      </c>
      <c r="B48" s="12" t="n">
        <v>4</v>
      </c>
      <c r="C48" s="13" t="s">
        <v>608</v>
      </c>
      <c r="D48" s="14"/>
      <c r="E48" s="15" t="s">
        <v>609</v>
      </c>
      <c r="F48" s="16"/>
    </row>
    <row r="49" customFormat="false" ht="25.5" hidden="false" customHeight="true" outlineLevel="0" collapsed="false">
      <c r="A49" s="10" t="s">
        <v>610</v>
      </c>
      <c r="B49" s="10"/>
      <c r="C49" s="10"/>
      <c r="D49" s="10"/>
      <c r="E49" s="10"/>
      <c r="F49" s="10"/>
    </row>
    <row r="50" customFormat="false" ht="49.5" hidden="false" customHeight="true" outlineLevel="0" collapsed="false">
      <c r="A50" s="11" t="s">
        <v>611</v>
      </c>
      <c r="B50" s="12" t="n">
        <v>1</v>
      </c>
      <c r="C50" s="13" t="s">
        <v>612</v>
      </c>
      <c r="D50" s="14"/>
      <c r="E50" s="15" t="s">
        <v>613</v>
      </c>
      <c r="F50" s="16"/>
    </row>
    <row r="51" customFormat="false" ht="49.5" hidden="false" customHeight="true" outlineLevel="0" collapsed="false">
      <c r="A51" s="11" t="s">
        <v>611</v>
      </c>
      <c r="B51" s="12" t="n">
        <v>2</v>
      </c>
      <c r="C51" s="13" t="s">
        <v>614</v>
      </c>
      <c r="D51" s="14"/>
      <c r="E51" s="15" t="s">
        <v>615</v>
      </c>
      <c r="F51" s="16"/>
    </row>
    <row r="52" customFormat="false" ht="49.5" hidden="false" customHeight="true" outlineLevel="0" collapsed="false">
      <c r="A52" s="11" t="s">
        <v>611</v>
      </c>
      <c r="B52" s="12" t="n">
        <v>3</v>
      </c>
      <c r="C52" s="13" t="s">
        <v>616</v>
      </c>
      <c r="D52" s="14"/>
      <c r="E52" s="15" t="s">
        <v>617</v>
      </c>
      <c r="F52" s="16"/>
    </row>
    <row r="53" customFormat="false" ht="25.5" hidden="false" customHeight="true" outlineLevel="0" collapsed="false">
      <c r="A53" s="10" t="s">
        <v>618</v>
      </c>
      <c r="B53" s="10"/>
      <c r="C53" s="10"/>
      <c r="D53" s="10"/>
      <c r="E53" s="10"/>
      <c r="F53" s="10"/>
    </row>
    <row r="54" customFormat="false" ht="49.5" hidden="false" customHeight="true" outlineLevel="0" collapsed="false">
      <c r="A54" s="11" t="s">
        <v>619</v>
      </c>
      <c r="B54" s="12" t="n">
        <v>1</v>
      </c>
      <c r="C54" s="13" t="s">
        <v>620</v>
      </c>
      <c r="D54" s="14"/>
      <c r="E54" s="15" t="s">
        <v>621</v>
      </c>
      <c r="F54" s="16"/>
    </row>
    <row r="55" customFormat="false" ht="49.5" hidden="false" customHeight="true" outlineLevel="0" collapsed="false">
      <c r="A55" s="11" t="s">
        <v>619</v>
      </c>
      <c r="B55" s="12" t="n">
        <v>2</v>
      </c>
      <c r="C55" s="13" t="s">
        <v>622</v>
      </c>
      <c r="D55" s="14"/>
      <c r="E55" s="15" t="s">
        <v>623</v>
      </c>
      <c r="F55" s="16"/>
    </row>
    <row r="56" customFormat="false" ht="49.5" hidden="false" customHeight="true" outlineLevel="0" collapsed="false">
      <c r="A56" s="11" t="s">
        <v>619</v>
      </c>
      <c r="B56" s="12" t="n">
        <v>3</v>
      </c>
      <c r="C56" s="13" t="s">
        <v>624</v>
      </c>
      <c r="D56" s="14"/>
      <c r="E56" s="15" t="s">
        <v>625</v>
      </c>
      <c r="F56" s="16"/>
    </row>
    <row r="57" customFormat="false" ht="25.5" hidden="false" customHeight="true" outlineLevel="0" collapsed="false">
      <c r="A57" s="10" t="s">
        <v>626</v>
      </c>
      <c r="B57" s="10"/>
      <c r="C57" s="10"/>
      <c r="D57" s="10"/>
      <c r="E57" s="10"/>
      <c r="F57" s="10"/>
    </row>
    <row r="58" customFormat="false" ht="49.5" hidden="false" customHeight="true" outlineLevel="0" collapsed="false">
      <c r="A58" s="11" t="s">
        <v>627</v>
      </c>
      <c r="B58" s="12" t="n">
        <v>1</v>
      </c>
      <c r="C58" s="13" t="s">
        <v>628</v>
      </c>
      <c r="D58" s="14"/>
      <c r="E58" s="15" t="s">
        <v>629</v>
      </c>
      <c r="F58" s="16"/>
    </row>
    <row r="59" customFormat="false" ht="49.5" hidden="false" customHeight="true" outlineLevel="0" collapsed="false">
      <c r="A59" s="11" t="s">
        <v>627</v>
      </c>
      <c r="B59" s="12" t="n">
        <v>2</v>
      </c>
      <c r="C59" s="13" t="s">
        <v>630</v>
      </c>
      <c r="D59" s="14"/>
      <c r="E59" s="15" t="s">
        <v>631</v>
      </c>
      <c r="F59" s="16"/>
    </row>
    <row r="60" customFormat="false" ht="49.5" hidden="false" customHeight="true" outlineLevel="0" collapsed="false">
      <c r="A60" s="11" t="s">
        <v>627</v>
      </c>
      <c r="B60" s="12" t="n">
        <v>3</v>
      </c>
      <c r="C60" s="13" t="s">
        <v>632</v>
      </c>
      <c r="D60" s="14"/>
      <c r="E60" s="15" t="s">
        <v>633</v>
      </c>
      <c r="F60" s="16"/>
    </row>
    <row r="61" customFormat="false" ht="25.5" hidden="false" customHeight="true" outlineLevel="0" collapsed="false">
      <c r="A61" s="10" t="s">
        <v>634</v>
      </c>
      <c r="B61" s="10"/>
      <c r="C61" s="10"/>
      <c r="D61" s="10"/>
      <c r="E61" s="10"/>
      <c r="F61" s="10"/>
    </row>
    <row r="62" customFormat="false" ht="49.5" hidden="false" customHeight="true" outlineLevel="0" collapsed="false">
      <c r="A62" s="11" t="s">
        <v>635</v>
      </c>
      <c r="B62" s="12" t="n">
        <v>1</v>
      </c>
      <c r="C62" s="13" t="s">
        <v>636</v>
      </c>
      <c r="D62" s="14"/>
      <c r="E62" s="15" t="s">
        <v>637</v>
      </c>
      <c r="F62" s="16"/>
    </row>
    <row r="63" customFormat="false" ht="49.5" hidden="false" customHeight="true" outlineLevel="0" collapsed="false">
      <c r="A63" s="11" t="s">
        <v>635</v>
      </c>
      <c r="B63" s="12" t="n">
        <v>2</v>
      </c>
      <c r="C63" s="13" t="s">
        <v>638</v>
      </c>
      <c r="D63" s="14"/>
      <c r="E63" s="15" t="s">
        <v>639</v>
      </c>
      <c r="F63" s="16"/>
    </row>
    <row r="64" customFormat="false" ht="49.5" hidden="false" customHeight="true" outlineLevel="0" collapsed="false">
      <c r="A64" s="11" t="s">
        <v>635</v>
      </c>
      <c r="B64" s="12" t="n">
        <v>3</v>
      </c>
      <c r="C64" s="13" t="s">
        <v>640</v>
      </c>
      <c r="D64" s="14"/>
      <c r="E64" s="15" t="s">
        <v>641</v>
      </c>
      <c r="F64" s="16"/>
    </row>
    <row r="65" customFormat="false" ht="25.5" hidden="false" customHeight="true" outlineLevel="0" collapsed="false">
      <c r="A65" s="10" t="s">
        <v>642</v>
      </c>
      <c r="B65" s="10"/>
      <c r="C65" s="10"/>
      <c r="D65" s="10"/>
      <c r="E65" s="10"/>
      <c r="F65" s="10"/>
    </row>
    <row r="66" customFormat="false" ht="49.5" hidden="false" customHeight="true" outlineLevel="0" collapsed="false">
      <c r="A66" s="11" t="s">
        <v>643</v>
      </c>
      <c r="B66" s="12" t="n">
        <v>1</v>
      </c>
      <c r="C66" s="13" t="s">
        <v>644</v>
      </c>
      <c r="D66" s="14"/>
      <c r="E66" s="15" t="s">
        <v>645</v>
      </c>
      <c r="F66" s="16"/>
    </row>
    <row r="67" customFormat="false" ht="25.5" hidden="false" customHeight="true" outlineLevel="0" collapsed="false">
      <c r="A67" s="10" t="s">
        <v>646</v>
      </c>
      <c r="B67" s="10"/>
      <c r="C67" s="10"/>
      <c r="D67" s="10"/>
      <c r="E67" s="10"/>
      <c r="F67" s="10"/>
    </row>
    <row r="68" customFormat="false" ht="49.5" hidden="false" customHeight="true" outlineLevel="0" collapsed="false">
      <c r="A68" s="11" t="s">
        <v>647</v>
      </c>
      <c r="B68" s="12" t="n">
        <v>1</v>
      </c>
      <c r="C68" s="13" t="s">
        <v>648</v>
      </c>
      <c r="D68" s="14"/>
      <c r="E68" s="15" t="s">
        <v>649</v>
      </c>
      <c r="F68" s="16"/>
    </row>
    <row r="69" customFormat="false" ht="49.5" hidden="false" customHeight="true" outlineLevel="0" collapsed="false">
      <c r="A69" s="11" t="s">
        <v>647</v>
      </c>
      <c r="B69" s="12" t="n">
        <v>2</v>
      </c>
      <c r="C69" s="13" t="s">
        <v>650</v>
      </c>
      <c r="D69" s="14"/>
      <c r="E69" s="15" t="s">
        <v>651</v>
      </c>
      <c r="F69" s="16"/>
    </row>
    <row r="70" customFormat="false" ht="49.5" hidden="false" customHeight="true" outlineLevel="0" collapsed="false">
      <c r="A70" s="11" t="s">
        <v>647</v>
      </c>
      <c r="B70" s="12" t="n">
        <v>3</v>
      </c>
      <c r="C70" s="13" t="s">
        <v>652</v>
      </c>
      <c r="D70" s="14"/>
      <c r="E70" s="15" t="s">
        <v>653</v>
      </c>
      <c r="F70" s="16"/>
    </row>
    <row r="71" customFormat="false" ht="49.5" hidden="false" customHeight="true" outlineLevel="0" collapsed="false">
      <c r="A71" s="11" t="s">
        <v>647</v>
      </c>
      <c r="B71" s="12" t="n">
        <v>4</v>
      </c>
      <c r="C71" s="13" t="s">
        <v>654</v>
      </c>
      <c r="D71" s="14"/>
      <c r="E71" s="15" t="s">
        <v>655</v>
      </c>
      <c r="F71" s="16"/>
    </row>
    <row r="72" customFormat="false" ht="49.5" hidden="false" customHeight="true" outlineLevel="0" collapsed="false">
      <c r="A72" s="11" t="s">
        <v>647</v>
      </c>
      <c r="B72" s="12" t="n">
        <v>5</v>
      </c>
      <c r="C72" s="13" t="s">
        <v>656</v>
      </c>
      <c r="D72" s="14"/>
      <c r="E72" s="15" t="s">
        <v>657</v>
      </c>
      <c r="F72" s="16"/>
    </row>
    <row r="73" customFormat="false" ht="49.5" hidden="false" customHeight="true" outlineLevel="0" collapsed="false">
      <c r="A73" s="11" t="s">
        <v>647</v>
      </c>
      <c r="B73" s="12" t="n">
        <v>6</v>
      </c>
      <c r="C73" s="13" t="s">
        <v>658</v>
      </c>
      <c r="D73" s="14"/>
      <c r="E73" s="15" t="s">
        <v>659</v>
      </c>
      <c r="F73" s="16"/>
    </row>
    <row r="74" customFormat="false" ht="25.5" hidden="false" customHeight="true" outlineLevel="0" collapsed="false">
      <c r="A74" s="10" t="s">
        <v>660</v>
      </c>
      <c r="B74" s="10"/>
      <c r="C74" s="10"/>
      <c r="D74" s="10"/>
      <c r="E74" s="10"/>
      <c r="F74" s="10"/>
    </row>
    <row r="75" customFormat="false" ht="49.5" hidden="false" customHeight="true" outlineLevel="0" collapsed="false">
      <c r="A75" s="11" t="s">
        <v>661</v>
      </c>
      <c r="B75" s="12" t="n">
        <v>1</v>
      </c>
      <c r="C75" s="13" t="s">
        <v>662</v>
      </c>
      <c r="D75" s="14"/>
      <c r="E75" s="15" t="s">
        <v>663</v>
      </c>
      <c r="F75" s="16"/>
    </row>
    <row r="76" customFormat="false" ht="49.5" hidden="false" customHeight="true" outlineLevel="0" collapsed="false">
      <c r="A76" s="11" t="s">
        <v>661</v>
      </c>
      <c r="B76" s="12" t="n">
        <v>2</v>
      </c>
      <c r="C76" s="13" t="s">
        <v>664</v>
      </c>
      <c r="D76" s="14"/>
      <c r="E76" s="15" t="s">
        <v>665</v>
      </c>
      <c r="F76" s="16"/>
    </row>
    <row r="77" customFormat="false" ht="49.5" hidden="false" customHeight="true" outlineLevel="0" collapsed="false">
      <c r="A77" s="11" t="s">
        <v>661</v>
      </c>
      <c r="B77" s="12" t="n">
        <v>3</v>
      </c>
      <c r="C77" s="13" t="s">
        <v>666</v>
      </c>
      <c r="D77" s="14"/>
      <c r="E77" s="15" t="s">
        <v>667</v>
      </c>
      <c r="F77" s="16"/>
    </row>
    <row r="78" customFormat="false" ht="25.5" hidden="false" customHeight="true" outlineLevel="0" collapsed="false">
      <c r="A78" s="10" t="s">
        <v>668</v>
      </c>
      <c r="B78" s="10"/>
      <c r="C78" s="10"/>
      <c r="D78" s="10"/>
      <c r="E78" s="10"/>
      <c r="F78" s="10"/>
    </row>
    <row r="79" customFormat="false" ht="49.5" hidden="false" customHeight="true" outlineLevel="0" collapsed="false">
      <c r="A79" s="11" t="s">
        <v>669</v>
      </c>
      <c r="B79" s="12" t="n">
        <v>1</v>
      </c>
      <c r="C79" s="13" t="s">
        <v>670</v>
      </c>
      <c r="D79" s="14"/>
      <c r="E79" s="15" t="s">
        <v>671</v>
      </c>
      <c r="F79" s="16"/>
    </row>
    <row r="80" customFormat="false" ht="49.5" hidden="false" customHeight="true" outlineLevel="0" collapsed="false">
      <c r="A80" s="11" t="s">
        <v>669</v>
      </c>
      <c r="B80" s="12" t="n">
        <v>2</v>
      </c>
      <c r="C80" s="13" t="s">
        <v>672</v>
      </c>
      <c r="D80" s="14"/>
      <c r="E80" s="15" t="s">
        <v>673</v>
      </c>
      <c r="F80" s="16"/>
    </row>
    <row r="81" customFormat="false" ht="49.5" hidden="false" customHeight="true" outlineLevel="0" collapsed="false">
      <c r="A81" s="11" t="s">
        <v>669</v>
      </c>
      <c r="B81" s="12" t="n">
        <v>3</v>
      </c>
      <c r="C81" s="13" t="s">
        <v>674</v>
      </c>
      <c r="D81" s="14"/>
      <c r="E81" s="15" t="s">
        <v>673</v>
      </c>
      <c r="F81" s="16"/>
    </row>
    <row r="82" customFormat="false" ht="49.5" hidden="false" customHeight="true" outlineLevel="0" collapsed="false">
      <c r="A82" s="11" t="s">
        <v>669</v>
      </c>
      <c r="B82" s="12" t="n">
        <v>4</v>
      </c>
      <c r="C82" s="13" t="s">
        <v>675</v>
      </c>
      <c r="D82" s="14"/>
      <c r="E82" s="15" t="s">
        <v>673</v>
      </c>
      <c r="F82" s="16"/>
    </row>
    <row r="83" customFormat="false" ht="49.5" hidden="false" customHeight="true" outlineLevel="0" collapsed="false">
      <c r="A83" s="11" t="s">
        <v>669</v>
      </c>
      <c r="B83" s="12" t="n">
        <v>5</v>
      </c>
      <c r="C83" s="13" t="s">
        <v>676</v>
      </c>
      <c r="D83" s="14"/>
      <c r="E83" s="15" t="s">
        <v>673</v>
      </c>
      <c r="F83" s="16"/>
    </row>
    <row r="84" customFormat="false" ht="25.5" hidden="false" customHeight="true" outlineLevel="0" collapsed="false">
      <c r="A84" s="10" t="s">
        <v>677</v>
      </c>
      <c r="B84" s="10"/>
      <c r="C84" s="10"/>
      <c r="D84" s="10"/>
      <c r="E84" s="10"/>
      <c r="F84" s="10"/>
    </row>
    <row r="85" customFormat="false" ht="49.5" hidden="false" customHeight="true" outlineLevel="0" collapsed="false">
      <c r="A85" s="11" t="s">
        <v>678</v>
      </c>
      <c r="B85" s="12" t="n">
        <v>1</v>
      </c>
      <c r="C85" s="13" t="s">
        <v>679</v>
      </c>
      <c r="D85" s="14"/>
      <c r="E85" s="15" t="s">
        <v>680</v>
      </c>
      <c r="F85" s="16"/>
    </row>
    <row r="86" customFormat="false" ht="49.5" hidden="false" customHeight="true" outlineLevel="0" collapsed="false">
      <c r="A86" s="11" t="s">
        <v>678</v>
      </c>
      <c r="B86" s="12" t="n">
        <v>2</v>
      </c>
      <c r="C86" s="13" t="s">
        <v>681</v>
      </c>
      <c r="D86" s="14"/>
      <c r="E86" s="15" t="s">
        <v>682</v>
      </c>
      <c r="F86" s="16"/>
    </row>
    <row r="87" customFormat="false" ht="49.5" hidden="false" customHeight="true" outlineLevel="0" collapsed="false">
      <c r="A87" s="11" t="s">
        <v>678</v>
      </c>
      <c r="B87" s="12" t="n">
        <v>3</v>
      </c>
      <c r="C87" s="13" t="s">
        <v>683</v>
      </c>
      <c r="D87" s="14"/>
      <c r="E87" s="15" t="s">
        <v>684</v>
      </c>
      <c r="F87" s="16"/>
    </row>
    <row r="88" customFormat="false" ht="49.5" hidden="false" customHeight="true" outlineLevel="0" collapsed="false">
      <c r="A88" s="11" t="s">
        <v>678</v>
      </c>
      <c r="B88" s="12" t="n">
        <v>4</v>
      </c>
      <c r="C88" s="13" t="s">
        <v>685</v>
      </c>
      <c r="D88" s="14"/>
      <c r="E88" s="15" t="s">
        <v>686</v>
      </c>
      <c r="F88" s="16"/>
    </row>
    <row r="89" customFormat="false" ht="49.5" hidden="false" customHeight="true" outlineLevel="0" collapsed="false">
      <c r="A89" s="11" t="s">
        <v>678</v>
      </c>
      <c r="B89" s="12" t="n">
        <v>5</v>
      </c>
      <c r="C89" s="13" t="s">
        <v>687</v>
      </c>
      <c r="D89" s="14"/>
      <c r="E89" s="15" t="s">
        <v>688</v>
      </c>
      <c r="F89" s="16"/>
    </row>
    <row r="90" customFormat="false" ht="25.5" hidden="false" customHeight="true" outlineLevel="0" collapsed="false">
      <c r="A90" s="10" t="s">
        <v>689</v>
      </c>
      <c r="B90" s="10"/>
      <c r="C90" s="10"/>
      <c r="D90" s="10"/>
      <c r="E90" s="10"/>
      <c r="F90" s="10"/>
    </row>
    <row r="91" customFormat="false" ht="49.5" hidden="false" customHeight="true" outlineLevel="0" collapsed="false">
      <c r="A91" s="11" t="s">
        <v>690</v>
      </c>
      <c r="B91" s="12" t="n">
        <v>1</v>
      </c>
      <c r="C91" s="13" t="s">
        <v>691</v>
      </c>
      <c r="D91" s="14"/>
      <c r="E91" s="15" t="s">
        <v>692</v>
      </c>
      <c r="F91" s="16"/>
    </row>
    <row r="92" customFormat="false" ht="49.5" hidden="false" customHeight="true" outlineLevel="0" collapsed="false">
      <c r="A92" s="11" t="s">
        <v>690</v>
      </c>
      <c r="B92" s="12" t="n">
        <v>2</v>
      </c>
      <c r="C92" s="13" t="s">
        <v>693</v>
      </c>
      <c r="D92" s="14"/>
      <c r="E92" s="15" t="s">
        <v>694</v>
      </c>
      <c r="F92" s="16"/>
    </row>
    <row r="93" customFormat="false" ht="49.5" hidden="false" customHeight="true" outlineLevel="0" collapsed="false">
      <c r="A93" s="11" t="s">
        <v>690</v>
      </c>
      <c r="B93" s="12" t="n">
        <v>3</v>
      </c>
      <c r="C93" s="13" t="s">
        <v>695</v>
      </c>
      <c r="D93" s="14"/>
      <c r="E93" s="15" t="s">
        <v>696</v>
      </c>
      <c r="F93" s="16"/>
    </row>
    <row r="94" customFormat="false" ht="49.5" hidden="false" customHeight="true" outlineLevel="0" collapsed="false">
      <c r="A94" s="11" t="s">
        <v>690</v>
      </c>
      <c r="B94" s="12" t="n">
        <v>4</v>
      </c>
      <c r="C94" s="13" t="s">
        <v>697</v>
      </c>
      <c r="D94" s="14"/>
      <c r="E94" s="15" t="s">
        <v>698</v>
      </c>
      <c r="F94" s="16"/>
    </row>
    <row r="95" customFormat="false" ht="49.5" hidden="false" customHeight="true" outlineLevel="0" collapsed="false">
      <c r="A95" s="11" t="s">
        <v>690</v>
      </c>
      <c r="B95" s="12" t="n">
        <v>5</v>
      </c>
      <c r="C95" s="13" t="s">
        <v>699</v>
      </c>
      <c r="D95" s="14"/>
      <c r="E95" s="15" t="s">
        <v>700</v>
      </c>
      <c r="F95" s="16"/>
    </row>
    <row r="96" customFormat="false" ht="49.5" hidden="false" customHeight="true" outlineLevel="0" collapsed="false">
      <c r="A96" s="11" t="s">
        <v>690</v>
      </c>
      <c r="B96" s="12" t="n">
        <v>6</v>
      </c>
      <c r="C96" s="13" t="s">
        <v>701</v>
      </c>
      <c r="D96" s="14"/>
      <c r="E96" s="15" t="s">
        <v>702</v>
      </c>
      <c r="F96" s="16"/>
    </row>
    <row r="97" customFormat="false" ht="25.5" hidden="false" customHeight="true" outlineLevel="0" collapsed="false">
      <c r="A97" s="10" t="s">
        <v>703</v>
      </c>
      <c r="B97" s="10"/>
      <c r="C97" s="10"/>
      <c r="D97" s="10"/>
      <c r="E97" s="10"/>
      <c r="F97" s="10"/>
    </row>
    <row r="98" customFormat="false" ht="49.5" hidden="false" customHeight="true" outlineLevel="0" collapsed="false">
      <c r="A98" s="11" t="s">
        <v>704</v>
      </c>
      <c r="B98" s="12" t="n">
        <v>1</v>
      </c>
      <c r="C98" s="13" t="s">
        <v>705</v>
      </c>
      <c r="D98" s="14"/>
      <c r="E98" s="15" t="s">
        <v>706</v>
      </c>
      <c r="F98" s="16"/>
    </row>
    <row r="99" customFormat="false" ht="49.5" hidden="false" customHeight="true" outlineLevel="0" collapsed="false">
      <c r="A99" s="11" t="s">
        <v>704</v>
      </c>
      <c r="B99" s="12" t="n">
        <v>2</v>
      </c>
      <c r="C99" s="13" t="s">
        <v>707</v>
      </c>
      <c r="D99" s="14"/>
      <c r="E99" s="15" t="s">
        <v>708</v>
      </c>
      <c r="F99" s="16"/>
    </row>
    <row r="100" customFormat="false" ht="49.5" hidden="false" customHeight="true" outlineLevel="0" collapsed="false">
      <c r="A100" s="11" t="s">
        <v>704</v>
      </c>
      <c r="B100" s="12" t="n">
        <v>3</v>
      </c>
      <c r="C100" s="13" t="s">
        <v>709</v>
      </c>
      <c r="D100" s="14"/>
      <c r="E100" s="15" t="s">
        <v>710</v>
      </c>
      <c r="F100" s="16"/>
    </row>
    <row r="101" customFormat="false" ht="25.5" hidden="false" customHeight="true" outlineLevel="0" collapsed="false">
      <c r="A101" s="10" t="s">
        <v>711</v>
      </c>
      <c r="B101" s="10"/>
      <c r="C101" s="10"/>
      <c r="D101" s="10"/>
      <c r="E101" s="10"/>
      <c r="F101" s="10"/>
    </row>
    <row r="102" customFormat="false" ht="49.5" hidden="false" customHeight="true" outlineLevel="0" collapsed="false">
      <c r="A102" s="11" t="s">
        <v>712</v>
      </c>
      <c r="B102" s="12" t="n">
        <v>1</v>
      </c>
      <c r="C102" s="13" t="s">
        <v>713</v>
      </c>
      <c r="D102" s="14"/>
      <c r="E102" s="15" t="s">
        <v>714</v>
      </c>
      <c r="F102" s="16"/>
    </row>
    <row r="103" customFormat="false" ht="49.5" hidden="false" customHeight="true" outlineLevel="0" collapsed="false">
      <c r="A103" s="11" t="s">
        <v>712</v>
      </c>
      <c r="B103" s="12" t="n">
        <v>2</v>
      </c>
      <c r="C103" s="13" t="s">
        <v>715</v>
      </c>
      <c r="D103" s="14"/>
      <c r="E103" s="15" t="s">
        <v>716</v>
      </c>
      <c r="F103" s="16"/>
    </row>
    <row r="104" customFormat="false" ht="49.5" hidden="false" customHeight="true" outlineLevel="0" collapsed="false">
      <c r="A104" s="11" t="s">
        <v>712</v>
      </c>
      <c r="B104" s="12" t="n">
        <v>3</v>
      </c>
      <c r="C104" s="13" t="s">
        <v>717</v>
      </c>
      <c r="D104" s="14"/>
      <c r="E104" s="15" t="s">
        <v>718</v>
      </c>
      <c r="F104" s="16"/>
    </row>
    <row r="105" customFormat="false" ht="49.5" hidden="false" customHeight="true" outlineLevel="0" collapsed="false">
      <c r="A105" s="11" t="s">
        <v>712</v>
      </c>
      <c r="B105" s="12" t="n">
        <v>4</v>
      </c>
      <c r="C105" s="13" t="s">
        <v>719</v>
      </c>
      <c r="D105" s="14"/>
      <c r="E105" s="15" t="s">
        <v>720</v>
      </c>
      <c r="F105" s="16"/>
    </row>
    <row r="106" customFormat="false" ht="49.5" hidden="false" customHeight="true" outlineLevel="0" collapsed="false">
      <c r="A106" s="11" t="s">
        <v>712</v>
      </c>
      <c r="B106" s="12" t="n">
        <v>5</v>
      </c>
      <c r="C106" s="13" t="s">
        <v>721</v>
      </c>
      <c r="D106" s="14"/>
      <c r="E106" s="15" t="s">
        <v>722</v>
      </c>
      <c r="F106" s="16"/>
    </row>
    <row r="107" customFormat="false" ht="25.5" hidden="false" customHeight="true" outlineLevel="0" collapsed="false">
      <c r="A107" s="10" t="s">
        <v>723</v>
      </c>
      <c r="B107" s="10"/>
      <c r="C107" s="10"/>
      <c r="D107" s="10"/>
      <c r="E107" s="10"/>
      <c r="F107" s="10"/>
    </row>
    <row r="108" customFormat="false" ht="49.5" hidden="false" customHeight="true" outlineLevel="0" collapsed="false">
      <c r="A108" s="11" t="s">
        <v>724</v>
      </c>
      <c r="B108" s="12" t="n">
        <v>1</v>
      </c>
      <c r="C108" s="13" t="s">
        <v>725</v>
      </c>
      <c r="D108" s="14"/>
      <c r="E108" s="15" t="s">
        <v>726</v>
      </c>
      <c r="F108" s="16"/>
    </row>
    <row r="109" customFormat="false" ht="49.5" hidden="false" customHeight="true" outlineLevel="0" collapsed="false">
      <c r="A109" s="11" t="s">
        <v>724</v>
      </c>
      <c r="B109" s="12" t="n">
        <v>2</v>
      </c>
      <c r="C109" s="13" t="s">
        <v>727</v>
      </c>
      <c r="D109" s="14"/>
      <c r="E109" s="15" t="s">
        <v>728</v>
      </c>
      <c r="F109" s="16"/>
    </row>
    <row r="110" customFormat="false" ht="25.5" hidden="false" customHeight="true" outlineLevel="0" collapsed="false">
      <c r="A110" s="10" t="s">
        <v>729</v>
      </c>
      <c r="B110" s="10"/>
      <c r="C110" s="10"/>
      <c r="D110" s="10"/>
      <c r="E110" s="10"/>
      <c r="F110" s="10"/>
    </row>
    <row r="111" customFormat="false" ht="49.5" hidden="false" customHeight="true" outlineLevel="0" collapsed="false">
      <c r="A111" s="11" t="s">
        <v>730</v>
      </c>
      <c r="B111" s="12" t="n">
        <v>1</v>
      </c>
      <c r="C111" s="13" t="s">
        <v>731</v>
      </c>
      <c r="D111" s="14"/>
      <c r="E111" s="15" t="s">
        <v>732</v>
      </c>
      <c r="F111" s="16"/>
    </row>
    <row r="112" customFormat="false" ht="49.5" hidden="false" customHeight="true" outlineLevel="0" collapsed="false">
      <c r="A112" s="11" t="s">
        <v>730</v>
      </c>
      <c r="B112" s="12" t="n">
        <v>2</v>
      </c>
      <c r="C112" s="13" t="s">
        <v>733</v>
      </c>
      <c r="D112" s="14"/>
      <c r="E112" s="15" t="s">
        <v>734</v>
      </c>
      <c r="F112" s="16"/>
    </row>
    <row r="113" customFormat="false" ht="49.5" hidden="false" customHeight="true" outlineLevel="0" collapsed="false">
      <c r="A113" s="11" t="s">
        <v>730</v>
      </c>
      <c r="B113" s="12" t="n">
        <v>3</v>
      </c>
      <c r="C113" s="13" t="s">
        <v>735</v>
      </c>
      <c r="D113" s="14"/>
      <c r="E113" s="15" t="s">
        <v>736</v>
      </c>
      <c r="F113" s="16"/>
    </row>
    <row r="114" customFormat="false" ht="49.5" hidden="false" customHeight="true" outlineLevel="0" collapsed="false">
      <c r="A114" s="11" t="s">
        <v>730</v>
      </c>
      <c r="B114" s="12" t="n">
        <v>4</v>
      </c>
      <c r="C114" s="13" t="s">
        <v>737</v>
      </c>
      <c r="D114" s="14"/>
      <c r="E114" s="15" t="s">
        <v>738</v>
      </c>
      <c r="F114" s="16"/>
    </row>
    <row r="115" customFormat="false" ht="49.5" hidden="false" customHeight="true" outlineLevel="0" collapsed="false">
      <c r="A115" s="11" t="s">
        <v>730</v>
      </c>
      <c r="B115" s="12" t="n">
        <v>5</v>
      </c>
      <c r="C115" s="13" t="s">
        <v>739</v>
      </c>
      <c r="D115" s="14"/>
      <c r="E115" s="15" t="s">
        <v>740</v>
      </c>
      <c r="F115" s="16"/>
    </row>
    <row r="116" customFormat="false" ht="49.5" hidden="false" customHeight="true" outlineLevel="0" collapsed="false">
      <c r="A116" s="11" t="s">
        <v>730</v>
      </c>
      <c r="B116" s="12" t="n">
        <v>6</v>
      </c>
      <c r="C116" s="13" t="s">
        <v>741</v>
      </c>
      <c r="D116" s="14"/>
      <c r="E116" s="15" t="s">
        <v>742</v>
      </c>
      <c r="F116" s="16"/>
    </row>
    <row r="117" customFormat="false" ht="25.5" hidden="false" customHeight="true" outlineLevel="0" collapsed="false">
      <c r="A117" s="10" t="s">
        <v>743</v>
      </c>
      <c r="B117" s="10"/>
      <c r="C117" s="10"/>
      <c r="D117" s="10"/>
      <c r="E117" s="10"/>
      <c r="F117" s="10"/>
    </row>
    <row r="118" customFormat="false" ht="49.5" hidden="false" customHeight="true" outlineLevel="0" collapsed="false">
      <c r="A118" s="11" t="s">
        <v>744</v>
      </c>
      <c r="B118" s="12" t="n">
        <v>1</v>
      </c>
      <c r="C118" s="13" t="s">
        <v>745</v>
      </c>
      <c r="D118" s="14"/>
      <c r="E118" s="15" t="s">
        <v>746</v>
      </c>
      <c r="F118" s="16"/>
    </row>
    <row r="119" customFormat="false" ht="49.5" hidden="false" customHeight="true" outlineLevel="0" collapsed="false">
      <c r="A119" s="11" t="s">
        <v>744</v>
      </c>
      <c r="B119" s="12" t="n">
        <v>2</v>
      </c>
      <c r="C119" s="13" t="s">
        <v>747</v>
      </c>
      <c r="D119" s="14"/>
      <c r="E119" s="15" t="s">
        <v>748</v>
      </c>
      <c r="F119" s="16"/>
    </row>
    <row r="120" customFormat="false" ht="49.5" hidden="false" customHeight="true" outlineLevel="0" collapsed="false">
      <c r="A120" s="11" t="s">
        <v>744</v>
      </c>
      <c r="B120" s="12" t="n">
        <v>3</v>
      </c>
      <c r="C120" s="13" t="s">
        <v>749</v>
      </c>
      <c r="D120" s="14"/>
      <c r="E120" s="15" t="s">
        <v>750</v>
      </c>
      <c r="F120" s="16"/>
    </row>
    <row r="121" customFormat="false" ht="49.5" hidden="false" customHeight="true" outlineLevel="0" collapsed="false">
      <c r="A121" s="11" t="s">
        <v>744</v>
      </c>
      <c r="B121" s="12" t="n">
        <v>4</v>
      </c>
      <c r="C121" s="13" t="s">
        <v>751</v>
      </c>
      <c r="D121" s="14"/>
      <c r="E121" s="15" t="s">
        <v>752</v>
      </c>
      <c r="F121" s="16"/>
    </row>
    <row r="122" customFormat="false" ht="49.5" hidden="false" customHeight="true" outlineLevel="0" collapsed="false">
      <c r="A122" s="11" t="s">
        <v>744</v>
      </c>
      <c r="B122" s="12" t="n">
        <v>5</v>
      </c>
      <c r="C122" s="13" t="s">
        <v>753</v>
      </c>
      <c r="D122" s="14"/>
      <c r="E122" s="15" t="s">
        <v>754</v>
      </c>
      <c r="F122" s="16"/>
    </row>
    <row r="123" customFormat="false" ht="25.5" hidden="false" customHeight="true" outlineLevel="0" collapsed="false">
      <c r="A123" s="10" t="s">
        <v>755</v>
      </c>
      <c r="B123" s="10"/>
      <c r="C123" s="10"/>
      <c r="D123" s="10"/>
      <c r="E123" s="10"/>
      <c r="F123" s="10"/>
    </row>
    <row r="124" customFormat="false" ht="49.5" hidden="false" customHeight="true" outlineLevel="0" collapsed="false">
      <c r="A124" s="11" t="s">
        <v>756</v>
      </c>
      <c r="B124" s="12" t="n">
        <v>1</v>
      </c>
      <c r="C124" s="13" t="s">
        <v>757</v>
      </c>
      <c r="D124" s="14"/>
      <c r="E124" s="15" t="s">
        <v>758</v>
      </c>
      <c r="F124" s="16"/>
    </row>
    <row r="125" customFormat="false" ht="49.5" hidden="false" customHeight="true" outlineLevel="0" collapsed="false">
      <c r="A125" s="11" t="s">
        <v>756</v>
      </c>
      <c r="B125" s="12" t="n">
        <v>2</v>
      </c>
      <c r="C125" s="13" t="s">
        <v>759</v>
      </c>
      <c r="D125" s="14"/>
      <c r="E125" s="15" t="s">
        <v>760</v>
      </c>
      <c r="F125" s="16"/>
    </row>
    <row r="126" customFormat="false" ht="49.5" hidden="false" customHeight="true" outlineLevel="0" collapsed="false">
      <c r="A126" s="11" t="s">
        <v>756</v>
      </c>
      <c r="B126" s="12" t="n">
        <v>3</v>
      </c>
      <c r="C126" s="13" t="s">
        <v>761</v>
      </c>
      <c r="D126" s="14"/>
      <c r="E126" s="15" t="s">
        <v>762</v>
      </c>
      <c r="F126" s="16"/>
    </row>
    <row r="127" customFormat="false" ht="49.5" hidden="false" customHeight="true" outlineLevel="0" collapsed="false">
      <c r="A127" s="11" t="s">
        <v>756</v>
      </c>
      <c r="B127" s="12" t="n">
        <v>4</v>
      </c>
      <c r="C127" s="13" t="s">
        <v>763</v>
      </c>
      <c r="D127" s="14"/>
      <c r="E127" s="15" t="s">
        <v>764</v>
      </c>
      <c r="F127" s="16"/>
    </row>
    <row r="128" customFormat="false" ht="25.5" hidden="false" customHeight="true" outlineLevel="0" collapsed="false">
      <c r="A128" s="10" t="s">
        <v>765</v>
      </c>
      <c r="B128" s="10"/>
      <c r="C128" s="10"/>
      <c r="D128" s="10"/>
      <c r="E128" s="10"/>
      <c r="F128" s="10"/>
    </row>
    <row r="129" customFormat="false" ht="49.5" hidden="false" customHeight="true" outlineLevel="0" collapsed="false">
      <c r="A129" s="11" t="s">
        <v>766</v>
      </c>
      <c r="B129" s="12" t="n">
        <v>1</v>
      </c>
      <c r="C129" s="13" t="s">
        <v>767</v>
      </c>
      <c r="D129" s="14"/>
      <c r="E129" s="15" t="s">
        <v>768</v>
      </c>
      <c r="F129" s="16"/>
    </row>
    <row r="130" customFormat="false" ht="49.5" hidden="false" customHeight="true" outlineLevel="0" collapsed="false">
      <c r="A130" s="11" t="s">
        <v>766</v>
      </c>
      <c r="B130" s="12" t="n">
        <v>2</v>
      </c>
      <c r="C130" s="13" t="s">
        <v>769</v>
      </c>
      <c r="D130" s="14"/>
      <c r="E130" s="15" t="s">
        <v>770</v>
      </c>
      <c r="F130" s="16"/>
    </row>
    <row r="131" customFormat="false" ht="49.5" hidden="false" customHeight="true" outlineLevel="0" collapsed="false">
      <c r="A131" s="11" t="s">
        <v>766</v>
      </c>
      <c r="B131" s="12" t="n">
        <v>3</v>
      </c>
      <c r="C131" s="13" t="s">
        <v>771</v>
      </c>
      <c r="D131" s="14"/>
      <c r="E131" s="15" t="s">
        <v>772</v>
      </c>
      <c r="F131" s="16"/>
    </row>
    <row r="132" customFormat="false" ht="49.5" hidden="false" customHeight="true" outlineLevel="0" collapsed="false">
      <c r="A132" s="11" t="s">
        <v>766</v>
      </c>
      <c r="B132" s="12" t="n">
        <v>4</v>
      </c>
      <c r="C132" s="13" t="s">
        <v>773</v>
      </c>
      <c r="D132" s="14"/>
      <c r="E132" s="15" t="s">
        <v>774</v>
      </c>
      <c r="F132" s="16"/>
    </row>
    <row r="133" customFormat="false" ht="49.5" hidden="false" customHeight="true" outlineLevel="0" collapsed="false">
      <c r="A133" s="11" t="s">
        <v>766</v>
      </c>
      <c r="B133" s="12" t="n">
        <v>5</v>
      </c>
      <c r="C133" s="13" t="s">
        <v>775</v>
      </c>
      <c r="D133" s="14"/>
      <c r="E133" s="15" t="s">
        <v>776</v>
      </c>
      <c r="F133" s="16"/>
    </row>
    <row r="134" customFormat="false" ht="25.5" hidden="false" customHeight="true" outlineLevel="0" collapsed="false">
      <c r="A134" s="10" t="s">
        <v>777</v>
      </c>
      <c r="B134" s="10"/>
      <c r="C134" s="10"/>
      <c r="D134" s="10"/>
      <c r="E134" s="10"/>
      <c r="F134" s="10"/>
    </row>
    <row r="135" customFormat="false" ht="49.5" hidden="false" customHeight="true" outlineLevel="0" collapsed="false">
      <c r="A135" s="11" t="s">
        <v>778</v>
      </c>
      <c r="B135" s="12" t="n">
        <v>1</v>
      </c>
      <c r="C135" s="13" t="s">
        <v>779</v>
      </c>
      <c r="D135" s="14"/>
      <c r="E135" s="15" t="s">
        <v>780</v>
      </c>
      <c r="F135" s="16"/>
    </row>
    <row r="136" customFormat="false" ht="49.5" hidden="false" customHeight="true" outlineLevel="0" collapsed="false">
      <c r="A136" s="11" t="s">
        <v>778</v>
      </c>
      <c r="B136" s="12" t="n">
        <v>2</v>
      </c>
      <c r="C136" s="13" t="s">
        <v>781</v>
      </c>
      <c r="D136" s="14"/>
      <c r="E136" s="15" t="s">
        <v>782</v>
      </c>
      <c r="F136" s="16"/>
    </row>
    <row r="137" customFormat="false" ht="25.5" hidden="false" customHeight="true" outlineLevel="0" collapsed="false">
      <c r="A137" s="10" t="s">
        <v>783</v>
      </c>
      <c r="B137" s="10"/>
      <c r="C137" s="10"/>
      <c r="D137" s="10"/>
      <c r="E137" s="10"/>
      <c r="F137" s="10"/>
    </row>
    <row r="138" customFormat="false" ht="49.5" hidden="false" customHeight="true" outlineLevel="0" collapsed="false">
      <c r="A138" s="11" t="s">
        <v>784</v>
      </c>
      <c r="B138" s="12" t="n">
        <v>1</v>
      </c>
      <c r="C138" s="13" t="s">
        <v>785</v>
      </c>
      <c r="D138" s="14"/>
      <c r="E138" s="15" t="s">
        <v>786</v>
      </c>
      <c r="F138" s="16"/>
    </row>
    <row r="139" customFormat="false" ht="49.5" hidden="false" customHeight="true" outlineLevel="0" collapsed="false">
      <c r="A139" s="11" t="s">
        <v>784</v>
      </c>
      <c r="B139" s="12" t="n">
        <v>2</v>
      </c>
      <c r="C139" s="13" t="s">
        <v>787</v>
      </c>
      <c r="D139" s="14"/>
      <c r="E139" s="15" t="s">
        <v>788</v>
      </c>
      <c r="F139" s="16"/>
    </row>
    <row r="140" customFormat="false" ht="25.5" hidden="false" customHeight="true" outlineLevel="0" collapsed="false">
      <c r="A140" s="10" t="s">
        <v>789</v>
      </c>
      <c r="B140" s="10"/>
      <c r="C140" s="10"/>
      <c r="D140" s="10"/>
      <c r="E140" s="10"/>
      <c r="F140" s="10"/>
    </row>
    <row r="141" customFormat="false" ht="49.5" hidden="false" customHeight="true" outlineLevel="0" collapsed="false">
      <c r="A141" s="11" t="s">
        <v>790</v>
      </c>
      <c r="B141" s="12" t="n">
        <v>1</v>
      </c>
      <c r="C141" s="13" t="s">
        <v>791</v>
      </c>
      <c r="D141" s="14"/>
      <c r="E141" s="15" t="s">
        <v>792</v>
      </c>
      <c r="F141" s="16"/>
    </row>
    <row r="142" customFormat="false" ht="49.5" hidden="false" customHeight="true" outlineLevel="0" collapsed="false">
      <c r="A142" s="11" t="s">
        <v>790</v>
      </c>
      <c r="B142" s="12" t="n">
        <v>2</v>
      </c>
      <c r="C142" s="13" t="s">
        <v>793</v>
      </c>
      <c r="D142" s="14"/>
      <c r="E142" s="15" t="s">
        <v>794</v>
      </c>
      <c r="F142" s="16"/>
    </row>
    <row r="143" customFormat="false" ht="49.5" hidden="false" customHeight="true" outlineLevel="0" collapsed="false">
      <c r="A143" s="11" t="s">
        <v>790</v>
      </c>
      <c r="B143" s="12" t="n">
        <v>3</v>
      </c>
      <c r="C143" s="13" t="s">
        <v>795</v>
      </c>
      <c r="D143" s="14"/>
      <c r="E143" s="15" t="s">
        <v>796</v>
      </c>
      <c r="F143" s="16"/>
    </row>
    <row r="144" customFormat="false" ht="25.5" hidden="false" customHeight="true" outlineLevel="0" collapsed="false">
      <c r="A144" s="10" t="s">
        <v>797</v>
      </c>
      <c r="B144" s="10"/>
      <c r="C144" s="10"/>
      <c r="D144" s="10"/>
      <c r="E144" s="10"/>
      <c r="F144" s="10"/>
    </row>
    <row r="145" customFormat="false" ht="49.5" hidden="false" customHeight="true" outlineLevel="0" collapsed="false">
      <c r="A145" s="11" t="s">
        <v>798</v>
      </c>
      <c r="B145" s="12" t="n">
        <v>1</v>
      </c>
      <c r="C145" s="13" t="s">
        <v>799</v>
      </c>
      <c r="D145" s="14"/>
      <c r="E145" s="15" t="s">
        <v>800</v>
      </c>
      <c r="F145" s="16"/>
    </row>
    <row r="146" customFormat="false" ht="49.5" hidden="false" customHeight="true" outlineLevel="0" collapsed="false">
      <c r="A146" s="11" t="s">
        <v>798</v>
      </c>
      <c r="B146" s="12" t="n">
        <v>2</v>
      </c>
      <c r="C146" s="13" t="s">
        <v>801</v>
      </c>
      <c r="D146" s="14"/>
      <c r="E146" s="15" t="s">
        <v>802</v>
      </c>
      <c r="F146" s="16"/>
    </row>
    <row r="147" customFormat="false" ht="25.5" hidden="false" customHeight="true" outlineLevel="0" collapsed="false">
      <c r="A147" s="10" t="s">
        <v>803</v>
      </c>
      <c r="B147" s="10"/>
      <c r="C147" s="10"/>
      <c r="D147" s="10"/>
      <c r="E147" s="10"/>
      <c r="F147" s="10"/>
    </row>
    <row r="148" customFormat="false" ht="49.5" hidden="false" customHeight="true" outlineLevel="0" collapsed="false">
      <c r="A148" s="11" t="s">
        <v>804</v>
      </c>
      <c r="B148" s="12" t="n">
        <v>1</v>
      </c>
      <c r="C148" s="13" t="s">
        <v>805</v>
      </c>
      <c r="D148" s="14"/>
      <c r="E148" s="15" t="s">
        <v>806</v>
      </c>
      <c r="F148" s="16"/>
    </row>
    <row r="149" customFormat="false" ht="49.5" hidden="false" customHeight="true" outlineLevel="0" collapsed="false">
      <c r="A149" s="11" t="s">
        <v>804</v>
      </c>
      <c r="B149" s="12" t="n">
        <v>2</v>
      </c>
      <c r="C149" s="13" t="s">
        <v>807</v>
      </c>
      <c r="D149" s="14"/>
      <c r="E149" s="15" t="s">
        <v>808</v>
      </c>
      <c r="F149" s="16"/>
    </row>
    <row r="150" customFormat="false" ht="49.5" hidden="false" customHeight="true" outlineLevel="0" collapsed="false">
      <c r="A150" s="11" t="s">
        <v>804</v>
      </c>
      <c r="B150" s="12" t="n">
        <v>3</v>
      </c>
      <c r="C150" s="13" t="s">
        <v>809</v>
      </c>
      <c r="D150" s="14"/>
      <c r="E150" s="15" t="s">
        <v>810</v>
      </c>
      <c r="F150" s="16"/>
    </row>
    <row r="151" customFormat="false" ht="49.5" hidden="false" customHeight="true" outlineLevel="0" collapsed="false">
      <c r="A151" s="11" t="s">
        <v>804</v>
      </c>
      <c r="B151" s="12" t="n">
        <v>4</v>
      </c>
      <c r="C151" s="13" t="s">
        <v>811</v>
      </c>
      <c r="D151" s="14"/>
      <c r="E151" s="15" t="s">
        <v>812</v>
      </c>
      <c r="F151" s="16"/>
    </row>
    <row r="152" customFormat="false" ht="49.5" hidden="false" customHeight="true" outlineLevel="0" collapsed="false">
      <c r="A152" s="11" t="s">
        <v>804</v>
      </c>
      <c r="B152" s="12" t="n">
        <v>5</v>
      </c>
      <c r="C152" s="13" t="s">
        <v>813</v>
      </c>
      <c r="D152" s="14"/>
      <c r="E152" s="15" t="s">
        <v>814</v>
      </c>
      <c r="F152" s="16"/>
    </row>
    <row r="153" customFormat="false" ht="49.5" hidden="false" customHeight="true" outlineLevel="0" collapsed="false">
      <c r="A153" s="11" t="s">
        <v>804</v>
      </c>
      <c r="B153" s="12" t="n">
        <v>6</v>
      </c>
      <c r="C153" s="13" t="s">
        <v>815</v>
      </c>
      <c r="D153" s="14"/>
      <c r="E153" s="15" t="s">
        <v>816</v>
      </c>
      <c r="F153" s="16"/>
    </row>
    <row r="154" customFormat="false" ht="25.5" hidden="false" customHeight="true" outlineLevel="0" collapsed="false">
      <c r="A154" s="10" t="s">
        <v>817</v>
      </c>
      <c r="B154" s="10"/>
      <c r="C154" s="10"/>
      <c r="D154" s="10"/>
      <c r="E154" s="10"/>
      <c r="F154" s="10"/>
    </row>
    <row r="155" customFormat="false" ht="49.5" hidden="false" customHeight="true" outlineLevel="0" collapsed="false">
      <c r="A155" s="11" t="s">
        <v>818</v>
      </c>
      <c r="B155" s="12" t="n">
        <v>1</v>
      </c>
      <c r="C155" s="13" t="s">
        <v>819</v>
      </c>
      <c r="D155" s="14"/>
      <c r="E155" s="15" t="s">
        <v>820</v>
      </c>
      <c r="F155" s="16"/>
    </row>
    <row r="156" customFormat="false" ht="49.5" hidden="false" customHeight="true" outlineLevel="0" collapsed="false">
      <c r="A156" s="11" t="s">
        <v>818</v>
      </c>
      <c r="B156" s="12" t="n">
        <v>2</v>
      </c>
      <c r="C156" s="13" t="s">
        <v>821</v>
      </c>
      <c r="D156" s="14"/>
      <c r="E156" s="15" t="s">
        <v>822</v>
      </c>
      <c r="F156" s="16"/>
    </row>
    <row r="157" customFormat="false" ht="49.5" hidden="false" customHeight="true" outlineLevel="0" collapsed="false">
      <c r="A157" s="11" t="s">
        <v>818</v>
      </c>
      <c r="B157" s="12" t="n">
        <v>3</v>
      </c>
      <c r="C157" s="13" t="s">
        <v>823</v>
      </c>
      <c r="D157" s="14"/>
      <c r="E157" s="15" t="s">
        <v>824</v>
      </c>
      <c r="F157" s="16"/>
    </row>
    <row r="158" customFormat="false" ht="49.5" hidden="false" customHeight="true" outlineLevel="0" collapsed="false">
      <c r="A158" s="11" t="s">
        <v>818</v>
      </c>
      <c r="B158" s="12" t="n">
        <v>4</v>
      </c>
      <c r="C158" s="13" t="s">
        <v>825</v>
      </c>
      <c r="D158" s="14"/>
      <c r="E158" s="15" t="s">
        <v>826</v>
      </c>
      <c r="F158" s="16"/>
    </row>
    <row r="159" customFormat="false" ht="49.5" hidden="false" customHeight="true" outlineLevel="0" collapsed="false">
      <c r="A159" s="11" t="s">
        <v>818</v>
      </c>
      <c r="B159" s="12" t="n">
        <v>5</v>
      </c>
      <c r="C159" s="13" t="s">
        <v>827</v>
      </c>
      <c r="D159" s="14"/>
      <c r="E159" s="15" t="s">
        <v>828</v>
      </c>
      <c r="F159" s="16"/>
    </row>
    <row r="160" customFormat="false" ht="49.5" hidden="false" customHeight="true" outlineLevel="0" collapsed="false">
      <c r="A160" s="11" t="s">
        <v>818</v>
      </c>
      <c r="B160" s="12" t="n">
        <v>6</v>
      </c>
      <c r="C160" s="13" t="s">
        <v>829</v>
      </c>
      <c r="D160" s="14"/>
      <c r="E160" s="15" t="s">
        <v>830</v>
      </c>
      <c r="F160" s="16"/>
    </row>
    <row r="161" customFormat="false" ht="49.5" hidden="false" customHeight="true" outlineLevel="0" collapsed="false">
      <c r="A161" s="11" t="s">
        <v>818</v>
      </c>
      <c r="B161" s="12" t="n">
        <v>7</v>
      </c>
      <c r="C161" s="13" t="s">
        <v>831</v>
      </c>
      <c r="D161" s="14"/>
      <c r="E161" s="15" t="s">
        <v>832</v>
      </c>
      <c r="F161" s="16"/>
    </row>
    <row r="162" customFormat="false" ht="25.5" hidden="false" customHeight="true" outlineLevel="0" collapsed="false">
      <c r="A162" s="10" t="s">
        <v>833</v>
      </c>
      <c r="B162" s="10"/>
      <c r="C162" s="10"/>
      <c r="D162" s="10"/>
      <c r="E162" s="10"/>
      <c r="F162" s="10"/>
    </row>
    <row r="163" customFormat="false" ht="49.5" hidden="false" customHeight="true" outlineLevel="0" collapsed="false">
      <c r="A163" s="11" t="s">
        <v>834</v>
      </c>
      <c r="B163" s="12" t="n">
        <v>1</v>
      </c>
      <c r="C163" s="13" t="s">
        <v>835</v>
      </c>
      <c r="D163" s="14"/>
      <c r="E163" s="15" t="s">
        <v>836</v>
      </c>
      <c r="F163" s="16"/>
    </row>
    <row r="164" customFormat="false" ht="49.5" hidden="false" customHeight="true" outlineLevel="0" collapsed="false">
      <c r="A164" s="11" t="s">
        <v>834</v>
      </c>
      <c r="B164" s="12" t="n">
        <v>2</v>
      </c>
      <c r="C164" s="13" t="s">
        <v>837</v>
      </c>
      <c r="D164" s="14"/>
      <c r="E164" s="15" t="s">
        <v>838</v>
      </c>
      <c r="F164" s="16"/>
    </row>
    <row r="166" customFormat="false" ht="24" hidden="false" customHeight="true" outlineLevel="0" collapsed="false">
      <c r="A166" s="17" t="s">
        <v>839</v>
      </c>
      <c r="B166" s="17"/>
      <c r="C166" s="17"/>
      <c r="D166" s="17"/>
      <c r="E166" s="17"/>
      <c r="F166" s="17"/>
    </row>
    <row r="167" customFormat="false" ht="23.85" hidden="false" customHeight="false" outlineLevel="0" collapsed="false">
      <c r="A167" s="18" t="s">
        <v>35</v>
      </c>
      <c r="B167" s="18" t="s">
        <v>60</v>
      </c>
      <c r="C167" s="18" t="s">
        <v>61</v>
      </c>
      <c r="D167" s="18" t="s">
        <v>62</v>
      </c>
      <c r="E167" s="18" t="s">
        <v>63</v>
      </c>
    </row>
    <row r="168" customFormat="false" ht="22.35" hidden="false" customHeight="false" outlineLevel="0" collapsed="false">
      <c r="A168" s="19" t="s">
        <v>523</v>
      </c>
      <c r="B168" s="20" t="n">
        <v>3</v>
      </c>
      <c r="C168" s="21" t="n">
        <f aca="false">SUMPRODUCT((D6:D8&lt;&gt;"TDD")*IFERROR(D6:D8,0))</f>
        <v>0</v>
      </c>
      <c r="D168" s="21" t="n">
        <f aca="false">COUNTIF(D6:D8,"&lt;&gt;TDD")*10</f>
        <v>30</v>
      </c>
      <c r="E168" s="22" t="n">
        <f aca="false">IFERROR(C168/D168,0)</f>
        <v>0</v>
      </c>
    </row>
    <row r="169" customFormat="false" ht="15" hidden="false" customHeight="false" outlineLevel="0" collapsed="false">
      <c r="A169" s="19" t="s">
        <v>531</v>
      </c>
      <c r="B169" s="20" t="n">
        <v>4</v>
      </c>
      <c r="C169" s="21" t="n">
        <f aca="false">SUMPRODUCT((D10:D13&lt;&gt;"TDD")*IFERROR(D10:D13,0))</f>
        <v>0</v>
      </c>
      <c r="D169" s="21" t="n">
        <f aca="false">COUNTIF(D10:D13,"&lt;&gt;TDD")*10</f>
        <v>40</v>
      </c>
      <c r="E169" s="22" t="n">
        <f aca="false">IFERROR(C169/D169,0)</f>
        <v>0</v>
      </c>
    </row>
    <row r="170" customFormat="false" ht="22.35" hidden="false" customHeight="false" outlineLevel="0" collapsed="false">
      <c r="A170" s="19" t="s">
        <v>541</v>
      </c>
      <c r="B170" s="20" t="n">
        <v>2</v>
      </c>
      <c r="C170" s="21" t="n">
        <f aca="false">SUMPRODUCT((D15:D16&lt;&gt;"TDD")*IFERROR(D15:D16,0))</f>
        <v>0</v>
      </c>
      <c r="D170" s="21" t="n">
        <f aca="false">COUNTIF(D15:D16,"&lt;&gt;TDD")*10</f>
        <v>20</v>
      </c>
      <c r="E170" s="22" t="n">
        <f aca="false">IFERROR(C170/D170,0)</f>
        <v>0</v>
      </c>
    </row>
    <row r="171" customFormat="false" ht="15" hidden="false" customHeight="false" outlineLevel="0" collapsed="false">
      <c r="A171" s="19" t="s">
        <v>547</v>
      </c>
      <c r="B171" s="20" t="n">
        <v>2</v>
      </c>
      <c r="C171" s="21" t="n">
        <f aca="false">SUMPRODUCT((D18:D19&lt;&gt;"TDD")*IFERROR(D18:D19,0))</f>
        <v>0</v>
      </c>
      <c r="D171" s="21" t="n">
        <f aca="false">COUNTIF(D18:D19,"&lt;&gt;TDD")*10</f>
        <v>20</v>
      </c>
      <c r="E171" s="22" t="n">
        <f aca="false">IFERROR(C171/D171,0)</f>
        <v>0</v>
      </c>
    </row>
    <row r="172" customFormat="false" ht="22.35" hidden="false" customHeight="false" outlineLevel="0" collapsed="false">
      <c r="A172" s="19" t="s">
        <v>553</v>
      </c>
      <c r="B172" s="20" t="n">
        <v>4</v>
      </c>
      <c r="C172" s="21" t="n">
        <f aca="false">SUMPRODUCT((D21:D24&lt;&gt;"TDD")*IFERROR(D21:D24,0))</f>
        <v>0</v>
      </c>
      <c r="D172" s="21" t="n">
        <f aca="false">COUNTIF(D21:D24,"&lt;&gt;TDD")*10</f>
        <v>40</v>
      </c>
      <c r="E172" s="22" t="n">
        <f aca="false">IFERROR(C172/D172,0)</f>
        <v>0</v>
      </c>
    </row>
    <row r="173" customFormat="false" ht="22.35" hidden="false" customHeight="false" outlineLevel="0" collapsed="false">
      <c r="A173" s="19" t="s">
        <v>563</v>
      </c>
      <c r="B173" s="20" t="n">
        <v>3</v>
      </c>
      <c r="C173" s="21" t="n">
        <f aca="false">SUMPRODUCT((D26:D28&lt;&gt;"TDD")*IFERROR(D26:D28,0))</f>
        <v>0</v>
      </c>
      <c r="D173" s="21" t="n">
        <f aca="false">COUNTIF(D26:D28,"&lt;&gt;TDD")*10</f>
        <v>30</v>
      </c>
      <c r="E173" s="22" t="n">
        <f aca="false">IFERROR(C173/D173,0)</f>
        <v>0</v>
      </c>
    </row>
    <row r="174" customFormat="false" ht="22.35" hidden="false" customHeight="false" outlineLevel="0" collapsed="false">
      <c r="A174" s="19" t="s">
        <v>571</v>
      </c>
      <c r="B174" s="20" t="n">
        <v>5</v>
      </c>
      <c r="C174" s="21" t="n">
        <f aca="false">SUMPRODUCT((D30:D34&lt;&gt;"TDD")*IFERROR(D30:D34,0))</f>
        <v>0</v>
      </c>
      <c r="D174" s="21" t="n">
        <f aca="false">COUNTIF(D30:D34,"&lt;&gt;TDD")*10</f>
        <v>50</v>
      </c>
      <c r="E174" s="22" t="n">
        <f aca="false">IFERROR(C174/D174,0)</f>
        <v>0</v>
      </c>
    </row>
    <row r="175" customFormat="false" ht="22.35" hidden="false" customHeight="false" outlineLevel="0" collapsed="false">
      <c r="A175" s="19" t="s">
        <v>583</v>
      </c>
      <c r="B175" s="20" t="n">
        <v>3</v>
      </c>
      <c r="C175" s="21" t="n">
        <f aca="false">SUMPRODUCT((D36:D38&lt;&gt;"TDD")*IFERROR(D36:D38,0))</f>
        <v>0</v>
      </c>
      <c r="D175" s="21" t="n">
        <f aca="false">COUNTIF(D36:D38,"&lt;&gt;TDD")*10</f>
        <v>30</v>
      </c>
      <c r="E175" s="22" t="n">
        <f aca="false">IFERROR(C175/D175,0)</f>
        <v>0</v>
      </c>
    </row>
    <row r="176" customFormat="false" ht="22.35" hidden="false" customHeight="false" outlineLevel="0" collapsed="false">
      <c r="A176" s="19" t="s">
        <v>591</v>
      </c>
      <c r="B176" s="20" t="n">
        <v>4</v>
      </c>
      <c r="C176" s="21" t="n">
        <f aca="false">SUMPRODUCT((D40:D43&lt;&gt;"TDD")*IFERROR(D40:D43,0))</f>
        <v>0</v>
      </c>
      <c r="D176" s="21" t="n">
        <f aca="false">COUNTIF(D40:D43,"&lt;&gt;TDD")*10</f>
        <v>40</v>
      </c>
      <c r="E176" s="22" t="n">
        <f aca="false">IFERROR(C176/D176,0)</f>
        <v>0</v>
      </c>
    </row>
    <row r="177" customFormat="false" ht="22.35" hidden="false" customHeight="false" outlineLevel="0" collapsed="false">
      <c r="A177" s="19" t="s">
        <v>601</v>
      </c>
      <c r="B177" s="20" t="n">
        <v>4</v>
      </c>
      <c r="C177" s="21" t="n">
        <f aca="false">SUMPRODUCT((D45:D48&lt;&gt;"TDD")*IFERROR(D45:D48,0))</f>
        <v>0</v>
      </c>
      <c r="D177" s="21" t="n">
        <f aca="false">COUNTIF(D45:D48,"&lt;&gt;TDD")*10</f>
        <v>40</v>
      </c>
      <c r="E177" s="22" t="n">
        <f aca="false">IFERROR(C177/D177,0)</f>
        <v>0</v>
      </c>
    </row>
    <row r="178" customFormat="false" ht="22.35" hidden="false" customHeight="false" outlineLevel="0" collapsed="false">
      <c r="A178" s="19" t="s">
        <v>611</v>
      </c>
      <c r="B178" s="20" t="n">
        <v>3</v>
      </c>
      <c r="C178" s="21" t="n">
        <f aca="false">SUMPRODUCT((D50:D52&lt;&gt;"TDD")*IFERROR(D50:D52,0))</f>
        <v>0</v>
      </c>
      <c r="D178" s="21" t="n">
        <f aca="false">COUNTIF(D50:D52,"&lt;&gt;TDD")*10</f>
        <v>30</v>
      </c>
      <c r="E178" s="22" t="n">
        <f aca="false">IFERROR(C178/D178,0)</f>
        <v>0</v>
      </c>
    </row>
    <row r="179" customFormat="false" ht="22.35" hidden="false" customHeight="false" outlineLevel="0" collapsed="false">
      <c r="A179" s="19" t="s">
        <v>619</v>
      </c>
      <c r="B179" s="20" t="n">
        <v>3</v>
      </c>
      <c r="C179" s="21" t="n">
        <f aca="false">SUMPRODUCT((D54:D56&lt;&gt;"TDD")*IFERROR(D54:D56,0))</f>
        <v>0</v>
      </c>
      <c r="D179" s="21" t="n">
        <f aca="false">COUNTIF(D54:D56,"&lt;&gt;TDD")*10</f>
        <v>30</v>
      </c>
      <c r="E179" s="22" t="n">
        <f aca="false">IFERROR(C179/D179,0)</f>
        <v>0</v>
      </c>
    </row>
    <row r="180" customFormat="false" ht="22.35" hidden="false" customHeight="false" outlineLevel="0" collapsed="false">
      <c r="A180" s="19" t="s">
        <v>627</v>
      </c>
      <c r="B180" s="20" t="n">
        <v>3</v>
      </c>
      <c r="C180" s="21" t="n">
        <f aca="false">SUMPRODUCT((D58:D60&lt;&gt;"TDD")*IFERROR(D58:D60,0))</f>
        <v>0</v>
      </c>
      <c r="D180" s="21" t="n">
        <f aca="false">COUNTIF(D58:D60,"&lt;&gt;TDD")*10</f>
        <v>30</v>
      </c>
      <c r="E180" s="22" t="n">
        <f aca="false">IFERROR(C180/D180,0)</f>
        <v>0</v>
      </c>
    </row>
    <row r="181" customFormat="false" ht="22.35" hidden="false" customHeight="false" outlineLevel="0" collapsed="false">
      <c r="A181" s="19" t="s">
        <v>635</v>
      </c>
      <c r="B181" s="20" t="n">
        <v>3</v>
      </c>
      <c r="C181" s="21" t="n">
        <f aca="false">SUMPRODUCT((D62:D64&lt;&gt;"TDD")*IFERROR(D62:D64,0))</f>
        <v>0</v>
      </c>
      <c r="D181" s="21" t="n">
        <f aca="false">COUNTIF(D62:D64,"&lt;&gt;TDD")*10</f>
        <v>30</v>
      </c>
      <c r="E181" s="22" t="n">
        <f aca="false">IFERROR(C181/D181,0)</f>
        <v>0</v>
      </c>
    </row>
    <row r="182" customFormat="false" ht="22.35" hidden="false" customHeight="false" outlineLevel="0" collapsed="false">
      <c r="A182" s="19" t="s">
        <v>643</v>
      </c>
      <c r="B182" s="20" t="n">
        <v>1</v>
      </c>
      <c r="C182" s="21" t="n">
        <f aca="false">SUMPRODUCT((D66:D66&lt;&gt;"TDD")*IFERROR(D66:D66,0))</f>
        <v>0</v>
      </c>
      <c r="D182" s="21" t="n">
        <f aca="false">COUNTIF(D66:D66,"&lt;&gt;TDD")*10</f>
        <v>10</v>
      </c>
      <c r="E182" s="22" t="n">
        <f aca="false">IFERROR(C182/D182,0)</f>
        <v>0</v>
      </c>
    </row>
    <row r="183" customFormat="false" ht="32.8" hidden="false" customHeight="false" outlineLevel="0" collapsed="false">
      <c r="A183" s="19" t="s">
        <v>647</v>
      </c>
      <c r="B183" s="20" t="n">
        <v>6</v>
      </c>
      <c r="C183" s="21" t="n">
        <f aca="false">SUMPRODUCT((D68:D73&lt;&gt;"TDD")*IFERROR(D68:D73,0))</f>
        <v>0</v>
      </c>
      <c r="D183" s="21" t="n">
        <f aca="false">COUNTIF(D68:D73,"&lt;&gt;TDD")*10</f>
        <v>60</v>
      </c>
      <c r="E183" s="22" t="n">
        <f aca="false">IFERROR(C183/D183,0)</f>
        <v>0</v>
      </c>
    </row>
    <row r="184" customFormat="false" ht="22.35" hidden="false" customHeight="false" outlineLevel="0" collapsed="false">
      <c r="A184" s="19" t="s">
        <v>661</v>
      </c>
      <c r="B184" s="20" t="n">
        <v>3</v>
      </c>
      <c r="C184" s="21" t="n">
        <f aca="false">SUMPRODUCT((D75:D77&lt;&gt;"TDD")*IFERROR(D75:D77,0))</f>
        <v>0</v>
      </c>
      <c r="D184" s="21" t="n">
        <f aca="false">COUNTIF(D75:D77,"&lt;&gt;TDD")*10</f>
        <v>30</v>
      </c>
      <c r="E184" s="22" t="n">
        <f aca="false">IFERROR(C184/D184,0)</f>
        <v>0</v>
      </c>
    </row>
    <row r="185" customFormat="false" ht="32.8" hidden="false" customHeight="false" outlineLevel="0" collapsed="false">
      <c r="A185" s="19" t="s">
        <v>669</v>
      </c>
      <c r="B185" s="20" t="n">
        <v>5</v>
      </c>
      <c r="C185" s="21" t="n">
        <f aca="false">SUMPRODUCT((D79:D83&lt;&gt;"TDD")*IFERROR(D79:D83,0))</f>
        <v>0</v>
      </c>
      <c r="D185" s="21" t="n">
        <f aca="false">COUNTIF(D79:D83,"&lt;&gt;TDD")*10</f>
        <v>50</v>
      </c>
      <c r="E185" s="22" t="n">
        <f aca="false">IFERROR(C185/D185,0)</f>
        <v>0</v>
      </c>
    </row>
    <row r="186" customFormat="false" ht="22.35" hidden="false" customHeight="false" outlineLevel="0" collapsed="false">
      <c r="A186" s="19" t="s">
        <v>678</v>
      </c>
      <c r="B186" s="20" t="n">
        <v>5</v>
      </c>
      <c r="C186" s="21" t="n">
        <f aca="false">SUMPRODUCT((D85:D89&lt;&gt;"TDD")*IFERROR(D85:D89,0))</f>
        <v>0</v>
      </c>
      <c r="D186" s="21" t="n">
        <f aca="false">COUNTIF(D85:D89,"&lt;&gt;TDD")*10</f>
        <v>50</v>
      </c>
      <c r="E186" s="22" t="n">
        <f aca="false">IFERROR(C186/D186,0)</f>
        <v>0</v>
      </c>
    </row>
    <row r="187" customFormat="false" ht="32.8" hidden="false" customHeight="false" outlineLevel="0" collapsed="false">
      <c r="A187" s="19" t="s">
        <v>690</v>
      </c>
      <c r="B187" s="20" t="n">
        <v>6</v>
      </c>
      <c r="C187" s="21" t="n">
        <f aca="false">SUMPRODUCT((D91:D96&lt;&gt;"TDD")*IFERROR(D91:D96,0))</f>
        <v>0</v>
      </c>
      <c r="D187" s="21" t="n">
        <f aca="false">COUNTIF(D91:D96,"&lt;&gt;TDD")*10</f>
        <v>60</v>
      </c>
      <c r="E187" s="22" t="n">
        <f aca="false">IFERROR(C187/D187,0)</f>
        <v>0</v>
      </c>
    </row>
    <row r="188" customFormat="false" ht="32.8" hidden="false" customHeight="false" outlineLevel="0" collapsed="false">
      <c r="A188" s="19" t="s">
        <v>704</v>
      </c>
      <c r="B188" s="20" t="n">
        <v>3</v>
      </c>
      <c r="C188" s="21" t="n">
        <f aca="false">SUMPRODUCT((D98:D100&lt;&gt;"TDD")*IFERROR(D98:D100,0))</f>
        <v>0</v>
      </c>
      <c r="D188" s="21" t="n">
        <f aca="false">COUNTIF(D98:D100,"&lt;&gt;TDD")*10</f>
        <v>30</v>
      </c>
      <c r="E188" s="22" t="n">
        <f aca="false">IFERROR(C188/D188,0)</f>
        <v>0</v>
      </c>
    </row>
    <row r="189" customFormat="false" ht="32.8" hidden="false" customHeight="false" outlineLevel="0" collapsed="false">
      <c r="A189" s="19" t="s">
        <v>712</v>
      </c>
      <c r="B189" s="20" t="n">
        <v>5</v>
      </c>
      <c r="C189" s="21" t="n">
        <f aca="false">SUMPRODUCT((D102:D106&lt;&gt;"TDD")*IFERROR(D102:D106,0))</f>
        <v>0</v>
      </c>
      <c r="D189" s="21" t="n">
        <f aca="false">COUNTIF(D102:D106,"&lt;&gt;TDD")*10</f>
        <v>50</v>
      </c>
      <c r="E189" s="22" t="n">
        <f aca="false">IFERROR(C189/D189,0)</f>
        <v>0</v>
      </c>
    </row>
    <row r="190" customFormat="false" ht="22.35" hidden="false" customHeight="false" outlineLevel="0" collapsed="false">
      <c r="A190" s="19" t="s">
        <v>724</v>
      </c>
      <c r="B190" s="20" t="n">
        <v>2</v>
      </c>
      <c r="C190" s="21" t="n">
        <f aca="false">SUMPRODUCT((D108:D109&lt;&gt;"TDD")*IFERROR(D108:D109,0))</f>
        <v>0</v>
      </c>
      <c r="D190" s="21" t="n">
        <f aca="false">COUNTIF(D108:D109,"&lt;&gt;TDD")*10</f>
        <v>20</v>
      </c>
      <c r="E190" s="22" t="n">
        <f aca="false">IFERROR(C190/D190,0)</f>
        <v>0</v>
      </c>
    </row>
    <row r="191" customFormat="false" ht="32.8" hidden="false" customHeight="false" outlineLevel="0" collapsed="false">
      <c r="A191" s="19" t="s">
        <v>730</v>
      </c>
      <c r="B191" s="20" t="n">
        <v>6</v>
      </c>
      <c r="C191" s="21" t="n">
        <f aca="false">SUMPRODUCT((D111:D116&lt;&gt;"TDD")*IFERROR(D111:D116,0))</f>
        <v>0</v>
      </c>
      <c r="D191" s="21" t="n">
        <f aca="false">COUNTIF(D111:D116,"&lt;&gt;TDD")*10</f>
        <v>60</v>
      </c>
      <c r="E191" s="22" t="n">
        <f aca="false">IFERROR(C191/D191,0)</f>
        <v>0</v>
      </c>
    </row>
    <row r="192" customFormat="false" ht="22.35" hidden="false" customHeight="false" outlineLevel="0" collapsed="false">
      <c r="A192" s="19" t="s">
        <v>744</v>
      </c>
      <c r="B192" s="20" t="n">
        <v>5</v>
      </c>
      <c r="C192" s="21" t="n">
        <f aca="false">SUMPRODUCT((D118:D122&lt;&gt;"TDD")*IFERROR(D118:D122,0))</f>
        <v>0</v>
      </c>
      <c r="D192" s="21" t="n">
        <f aca="false">COUNTIF(D118:D122,"&lt;&gt;TDD")*10</f>
        <v>50</v>
      </c>
      <c r="E192" s="22" t="n">
        <f aca="false">IFERROR(C192/D192,0)</f>
        <v>0</v>
      </c>
    </row>
    <row r="193" customFormat="false" ht="32.8" hidden="false" customHeight="false" outlineLevel="0" collapsed="false">
      <c r="A193" s="19" t="s">
        <v>756</v>
      </c>
      <c r="B193" s="20" t="n">
        <v>4</v>
      </c>
      <c r="C193" s="21" t="n">
        <f aca="false">SUMPRODUCT((D124:D127&lt;&gt;"TDD")*IFERROR(D124:D127,0))</f>
        <v>0</v>
      </c>
      <c r="D193" s="21" t="n">
        <f aca="false">COUNTIF(D124:D127,"&lt;&gt;TDD")*10</f>
        <v>40</v>
      </c>
      <c r="E193" s="22" t="n">
        <f aca="false">IFERROR(C193/D193,0)</f>
        <v>0</v>
      </c>
    </row>
    <row r="194" customFormat="false" ht="22.35" hidden="false" customHeight="false" outlineLevel="0" collapsed="false">
      <c r="A194" s="19" t="s">
        <v>766</v>
      </c>
      <c r="B194" s="20" t="n">
        <v>5</v>
      </c>
      <c r="C194" s="21" t="n">
        <f aca="false">SUMPRODUCT((D129:D133&lt;&gt;"TDD")*IFERROR(D129:D133,0))</f>
        <v>0</v>
      </c>
      <c r="D194" s="21" t="n">
        <f aca="false">COUNTIF(D129:D133,"&lt;&gt;TDD")*10</f>
        <v>50</v>
      </c>
      <c r="E194" s="22" t="n">
        <f aca="false">IFERROR(C194/D194,0)</f>
        <v>0</v>
      </c>
    </row>
    <row r="195" customFormat="false" ht="15" hidden="false" customHeight="false" outlineLevel="0" collapsed="false">
      <c r="A195" s="19" t="s">
        <v>778</v>
      </c>
      <c r="B195" s="20" t="n">
        <v>2</v>
      </c>
      <c r="C195" s="21" t="n">
        <f aca="false">SUMPRODUCT((D135:D136&lt;&gt;"TDD")*IFERROR(D135:D136,0))</f>
        <v>0</v>
      </c>
      <c r="D195" s="21" t="n">
        <f aca="false">COUNTIF(D135:D136,"&lt;&gt;TDD")*10</f>
        <v>20</v>
      </c>
      <c r="E195" s="22" t="n">
        <f aca="false">IFERROR(C195/D195,0)</f>
        <v>0</v>
      </c>
    </row>
    <row r="196" customFormat="false" ht="15" hidden="false" customHeight="false" outlineLevel="0" collapsed="false">
      <c r="A196" s="19" t="s">
        <v>784</v>
      </c>
      <c r="B196" s="20" t="n">
        <v>2</v>
      </c>
      <c r="C196" s="21" t="n">
        <f aca="false">SUMPRODUCT((D138:D139&lt;&gt;"TDD")*IFERROR(D138:D139,0))</f>
        <v>0</v>
      </c>
      <c r="D196" s="21" t="n">
        <f aca="false">COUNTIF(D138:D139,"&lt;&gt;TDD")*10</f>
        <v>20</v>
      </c>
      <c r="E196" s="22" t="n">
        <f aca="false">IFERROR(C196/D196,0)</f>
        <v>0</v>
      </c>
    </row>
    <row r="197" customFormat="false" ht="32.8" hidden="false" customHeight="false" outlineLevel="0" collapsed="false">
      <c r="A197" s="19" t="s">
        <v>790</v>
      </c>
      <c r="B197" s="20" t="n">
        <v>3</v>
      </c>
      <c r="C197" s="21" t="n">
        <f aca="false">SUMPRODUCT((D141:D143&lt;&gt;"TDD")*IFERROR(D141:D143,0))</f>
        <v>0</v>
      </c>
      <c r="D197" s="21" t="n">
        <f aca="false">COUNTIF(D141:D143,"&lt;&gt;TDD")*10</f>
        <v>30</v>
      </c>
      <c r="E197" s="22" t="n">
        <f aca="false">IFERROR(C197/D197,0)</f>
        <v>0</v>
      </c>
    </row>
    <row r="198" customFormat="false" ht="22.35" hidden="false" customHeight="false" outlineLevel="0" collapsed="false">
      <c r="A198" s="19" t="s">
        <v>798</v>
      </c>
      <c r="B198" s="20" t="n">
        <v>2</v>
      </c>
      <c r="C198" s="21" t="n">
        <f aca="false">SUMPRODUCT((D145:D146&lt;&gt;"TDD")*IFERROR(D145:D146,0))</f>
        <v>0</v>
      </c>
      <c r="D198" s="21" t="n">
        <f aca="false">COUNTIF(D145:D146,"&lt;&gt;TDD")*10</f>
        <v>20</v>
      </c>
      <c r="E198" s="22" t="n">
        <f aca="false">IFERROR(C198/D198,0)</f>
        <v>0</v>
      </c>
    </row>
    <row r="199" customFormat="false" ht="32.8" hidden="false" customHeight="false" outlineLevel="0" collapsed="false">
      <c r="A199" s="19" t="s">
        <v>804</v>
      </c>
      <c r="B199" s="20" t="n">
        <v>6</v>
      </c>
      <c r="C199" s="21" t="n">
        <f aca="false">SUMPRODUCT((D148:D153&lt;&gt;"TDD")*IFERROR(D148:D153,0))</f>
        <v>0</v>
      </c>
      <c r="D199" s="21" t="n">
        <f aca="false">COUNTIF(D148:D153,"&lt;&gt;TDD")*10</f>
        <v>60</v>
      </c>
      <c r="E199" s="22" t="n">
        <f aca="false">IFERROR(C199/D199,0)</f>
        <v>0</v>
      </c>
    </row>
    <row r="200" customFormat="false" ht="32.8" hidden="false" customHeight="false" outlineLevel="0" collapsed="false">
      <c r="A200" s="19" t="s">
        <v>818</v>
      </c>
      <c r="B200" s="20" t="n">
        <v>7</v>
      </c>
      <c r="C200" s="21" t="n">
        <f aca="false">SUMPRODUCT((D155:D161&lt;&gt;"TDD")*IFERROR(D155:D161,0))</f>
        <v>0</v>
      </c>
      <c r="D200" s="21" t="n">
        <f aca="false">COUNTIF(D155:D161,"&lt;&gt;TDD")*10</f>
        <v>70</v>
      </c>
      <c r="E200" s="22" t="n">
        <f aca="false">IFERROR(C200/D200,0)</f>
        <v>0</v>
      </c>
    </row>
    <row r="201" customFormat="false" ht="32.8" hidden="false" customHeight="false" outlineLevel="0" collapsed="false">
      <c r="A201" s="19" t="s">
        <v>834</v>
      </c>
      <c r="B201" s="20" t="n">
        <v>2</v>
      </c>
      <c r="C201" s="21" t="n">
        <f aca="false">SUMPRODUCT((D163:D164&lt;&gt;"TDD")*IFERROR(D163:D164,0))</f>
        <v>0</v>
      </c>
      <c r="D201" s="21" t="n">
        <f aca="false">COUNTIF(D163:D164,"&lt;&gt;TDD")*10</f>
        <v>20</v>
      </c>
      <c r="E201" s="22" t="n">
        <f aca="false">IFERROR(C201/D201,0)</f>
        <v>0</v>
      </c>
    </row>
    <row r="202" customFormat="false" ht="15" hidden="false" customHeight="false" outlineLevel="0" collapsed="false">
      <c r="A202" s="23" t="s">
        <v>840</v>
      </c>
      <c r="B202" s="24" t="n">
        <f aca="false">SUM(B168:B201)</f>
        <v>126</v>
      </c>
      <c r="C202" s="23" t="n">
        <f aca="false">SUM(C168:C201)</f>
        <v>0</v>
      </c>
      <c r="D202" s="23" t="n">
        <f aca="false">SUM(D168:D201)</f>
        <v>1260</v>
      </c>
      <c r="E202" s="25" t="n">
        <f aca="false">IFERROR(C202/D202,0)</f>
        <v>0</v>
      </c>
    </row>
  </sheetData>
  <mergeCells count="37">
    <mergeCell ref="A1:F1"/>
    <mergeCell ref="A2:F2"/>
    <mergeCell ref="A5:F5"/>
    <mergeCell ref="A9:F9"/>
    <mergeCell ref="A14:F14"/>
    <mergeCell ref="A17:F17"/>
    <mergeCell ref="A20:F20"/>
    <mergeCell ref="A25:F25"/>
    <mergeCell ref="A29:F29"/>
    <mergeCell ref="A35:F35"/>
    <mergeCell ref="A39:F39"/>
    <mergeCell ref="A44:F44"/>
    <mergeCell ref="A49:F49"/>
    <mergeCell ref="A53:F53"/>
    <mergeCell ref="A57:F57"/>
    <mergeCell ref="A61:F61"/>
    <mergeCell ref="A65:F65"/>
    <mergeCell ref="A67:F67"/>
    <mergeCell ref="A74:F74"/>
    <mergeCell ref="A78:F78"/>
    <mergeCell ref="A84:F84"/>
    <mergeCell ref="A90:F90"/>
    <mergeCell ref="A97:F97"/>
    <mergeCell ref="A101:F101"/>
    <mergeCell ref="A107:F107"/>
    <mergeCell ref="A110:F110"/>
    <mergeCell ref="A117:F117"/>
    <mergeCell ref="A123:F123"/>
    <mergeCell ref="A128:F128"/>
    <mergeCell ref="A134:F134"/>
    <mergeCell ref="A137:F137"/>
    <mergeCell ref="A140:F140"/>
    <mergeCell ref="A144:F144"/>
    <mergeCell ref="A147:F147"/>
    <mergeCell ref="A154:F154"/>
    <mergeCell ref="A162:F162"/>
    <mergeCell ref="A166:F166"/>
  </mergeCells>
  <dataValidations count="1">
    <dataValidation allowBlank="true" error="Nilai harus 0, 5, 10, atau TDD." errorStyle="stop" errorTitle="Error" operator="between" showDropDown="false" showErrorMessage="true" showInputMessage="false" sqref="D6:D8 D10:D13 D15:D16 D18:D19 D21:D24 D26:D28 D30:D34 D36:D38 D40:D43 D45:D48 D50:D52 D54:D56 D58:D60 D62:D64 D66 D68:D73 D75:D77 D79:D83 D85:D89 D91:D96 D98:D100 D102:D106 D108:D109 D111:D116 D118:D122 D124:D127 D129:D133 D135:D136 D138:D139 D141:D143 D145:D146 D148:D153 D155:D161 D163:D164" type="list">
      <formula1>"10,5,0,TDD"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8"/>
    <col collapsed="false" customWidth="true" hidden="false" outlineLevel="0" max="3" min="3" style="0" width="48"/>
    <col collapsed="false" customWidth="true" hidden="false" outlineLevel="0" max="4" min="4" style="0" width="12"/>
    <col collapsed="false" customWidth="true" hidden="false" outlineLevel="0" max="5" min="5" style="0" width="30"/>
    <col collapsed="false" customWidth="true" hidden="false" outlineLevel="0" max="6" min="6" style="0" width="28"/>
  </cols>
  <sheetData>
    <row r="1" customFormat="false" ht="24" hidden="false" customHeight="true" outlineLevel="0" collapsed="false">
      <c r="A1" s="7" t="s">
        <v>841</v>
      </c>
      <c r="B1" s="7"/>
      <c r="C1" s="7"/>
      <c r="D1" s="7"/>
      <c r="E1" s="7"/>
      <c r="F1" s="7"/>
    </row>
    <row r="2" customFormat="false" ht="27.75" hidden="false" customHeight="true" outlineLevel="0" collapsed="false">
      <c r="A2" s="8" t="s">
        <v>34</v>
      </c>
      <c r="B2" s="8"/>
      <c r="C2" s="8"/>
      <c r="D2" s="8"/>
      <c r="E2" s="8"/>
      <c r="F2" s="8"/>
    </row>
    <row r="4" customFormat="false" ht="27.75" hidden="false" customHeight="true" outlineLevel="0" collapsed="false">
      <c r="A4" s="9" t="s">
        <v>35</v>
      </c>
      <c r="B4" s="9" t="s">
        <v>36</v>
      </c>
      <c r="C4" s="9" t="s">
        <v>37</v>
      </c>
      <c r="D4" s="9" t="s">
        <v>38</v>
      </c>
      <c r="E4" s="9" t="s">
        <v>39</v>
      </c>
      <c r="F4" s="9" t="s">
        <v>40</v>
      </c>
    </row>
    <row r="5" customFormat="false" ht="25.5" hidden="false" customHeight="true" outlineLevel="0" collapsed="false">
      <c r="A5" s="10" t="s">
        <v>842</v>
      </c>
      <c r="B5" s="10"/>
      <c r="C5" s="10"/>
      <c r="D5" s="10"/>
      <c r="E5" s="10"/>
      <c r="F5" s="10"/>
    </row>
    <row r="6" customFormat="false" ht="49.5" hidden="false" customHeight="true" outlineLevel="0" collapsed="false">
      <c r="A6" s="11" t="s">
        <v>843</v>
      </c>
      <c r="B6" s="12" t="n">
        <v>1</v>
      </c>
      <c r="C6" s="13" t="s">
        <v>844</v>
      </c>
      <c r="D6" s="14"/>
      <c r="E6" s="15" t="s">
        <v>845</v>
      </c>
      <c r="F6" s="16"/>
    </row>
    <row r="7" customFormat="false" ht="49.5" hidden="false" customHeight="true" outlineLevel="0" collapsed="false">
      <c r="A7" s="11" t="s">
        <v>843</v>
      </c>
      <c r="B7" s="12" t="n">
        <v>2</v>
      </c>
      <c r="C7" s="13" t="s">
        <v>846</v>
      </c>
      <c r="D7" s="14"/>
      <c r="E7" s="15" t="s">
        <v>847</v>
      </c>
      <c r="F7" s="16"/>
    </row>
    <row r="8" customFormat="false" ht="25.5" hidden="false" customHeight="true" outlineLevel="0" collapsed="false">
      <c r="A8" s="10" t="s">
        <v>848</v>
      </c>
      <c r="B8" s="10"/>
      <c r="C8" s="10"/>
      <c r="D8" s="10"/>
      <c r="E8" s="10"/>
      <c r="F8" s="10"/>
    </row>
    <row r="9" customFormat="false" ht="49.5" hidden="false" customHeight="true" outlineLevel="0" collapsed="false">
      <c r="A9" s="11" t="s">
        <v>849</v>
      </c>
      <c r="B9" s="12" t="n">
        <v>1</v>
      </c>
      <c r="C9" s="13" t="s">
        <v>850</v>
      </c>
      <c r="D9" s="14"/>
      <c r="E9" s="15" t="s">
        <v>851</v>
      </c>
      <c r="F9" s="16"/>
    </row>
    <row r="10" customFormat="false" ht="49.5" hidden="false" customHeight="true" outlineLevel="0" collapsed="false">
      <c r="A10" s="11" t="s">
        <v>849</v>
      </c>
      <c r="B10" s="12" t="n">
        <v>2</v>
      </c>
      <c r="C10" s="13" t="s">
        <v>852</v>
      </c>
      <c r="D10" s="14"/>
      <c r="E10" s="15" t="s">
        <v>853</v>
      </c>
      <c r="F10" s="16"/>
    </row>
    <row r="11" customFormat="false" ht="25.5" hidden="false" customHeight="true" outlineLevel="0" collapsed="false">
      <c r="A11" s="10" t="s">
        <v>854</v>
      </c>
      <c r="B11" s="10"/>
      <c r="C11" s="10"/>
      <c r="D11" s="10"/>
      <c r="E11" s="10"/>
      <c r="F11" s="10"/>
    </row>
    <row r="12" customFormat="false" ht="49.5" hidden="false" customHeight="true" outlineLevel="0" collapsed="false">
      <c r="A12" s="11" t="s">
        <v>855</v>
      </c>
      <c r="B12" s="12" t="n">
        <v>1</v>
      </c>
      <c r="C12" s="13" t="s">
        <v>856</v>
      </c>
      <c r="D12" s="14"/>
      <c r="E12" s="15" t="s">
        <v>857</v>
      </c>
      <c r="F12" s="16"/>
    </row>
    <row r="13" customFormat="false" ht="49.5" hidden="false" customHeight="true" outlineLevel="0" collapsed="false">
      <c r="A13" s="11" t="s">
        <v>855</v>
      </c>
      <c r="B13" s="12" t="n">
        <v>2</v>
      </c>
      <c r="C13" s="13" t="s">
        <v>858</v>
      </c>
      <c r="D13" s="14"/>
      <c r="E13" s="15" t="s">
        <v>859</v>
      </c>
      <c r="F13" s="16"/>
    </row>
    <row r="15" customFormat="false" ht="24" hidden="false" customHeight="true" outlineLevel="0" collapsed="false">
      <c r="A15" s="17" t="s">
        <v>860</v>
      </c>
      <c r="B15" s="17"/>
      <c r="C15" s="17"/>
      <c r="D15" s="17"/>
      <c r="E15" s="17"/>
      <c r="F15" s="17"/>
    </row>
    <row r="16" customFormat="false" ht="23.85" hidden="false" customHeight="false" outlineLevel="0" collapsed="false">
      <c r="A16" s="18" t="s">
        <v>35</v>
      </c>
      <c r="B16" s="18" t="s">
        <v>60</v>
      </c>
      <c r="C16" s="18" t="s">
        <v>61</v>
      </c>
      <c r="D16" s="18" t="s">
        <v>62</v>
      </c>
      <c r="E16" s="18" t="s">
        <v>63</v>
      </c>
    </row>
    <row r="17" customFormat="false" ht="32.8" hidden="false" customHeight="false" outlineLevel="0" collapsed="false">
      <c r="A17" s="19" t="s">
        <v>843</v>
      </c>
      <c r="B17" s="20" t="n">
        <v>2</v>
      </c>
      <c r="C17" s="21" t="n">
        <f aca="false">SUMPRODUCT((D6:D7&lt;&gt;"TDD")*IFERROR(D6:D7,0))</f>
        <v>0</v>
      </c>
      <c r="D17" s="21" t="n">
        <f aca="false">COUNTIF(D6:D7,"&lt;&gt;TDD")*10</f>
        <v>20</v>
      </c>
      <c r="E17" s="22" t="n">
        <f aca="false">IFERROR(C17/D17,0)</f>
        <v>0</v>
      </c>
    </row>
    <row r="18" customFormat="false" ht="32.8" hidden="false" customHeight="false" outlineLevel="0" collapsed="false">
      <c r="A18" s="19" t="s">
        <v>849</v>
      </c>
      <c r="B18" s="20" t="n">
        <v>2</v>
      </c>
      <c r="C18" s="21" t="n">
        <f aca="false">SUMPRODUCT((D9:D10&lt;&gt;"TDD")*IFERROR(D9:D10,0))</f>
        <v>0</v>
      </c>
      <c r="D18" s="21" t="n">
        <f aca="false">COUNTIF(D9:D10,"&lt;&gt;TDD")*10</f>
        <v>20</v>
      </c>
      <c r="E18" s="22" t="n">
        <f aca="false">IFERROR(C18/D18,0)</f>
        <v>0</v>
      </c>
    </row>
    <row r="19" customFormat="false" ht="32.8" hidden="false" customHeight="false" outlineLevel="0" collapsed="false">
      <c r="A19" s="19" t="s">
        <v>855</v>
      </c>
      <c r="B19" s="20" t="n">
        <v>2</v>
      </c>
      <c r="C19" s="21" t="n">
        <f aca="false">SUMPRODUCT((D12:D13&lt;&gt;"TDD")*IFERROR(D12:D13,0))</f>
        <v>0</v>
      </c>
      <c r="D19" s="21" t="n">
        <f aca="false">COUNTIF(D12:D13,"&lt;&gt;TDD")*10</f>
        <v>20</v>
      </c>
      <c r="E19" s="22" t="n">
        <f aca="false">IFERROR(C19/D19,0)</f>
        <v>0</v>
      </c>
    </row>
    <row r="20" customFormat="false" ht="15" hidden="false" customHeight="false" outlineLevel="0" collapsed="false">
      <c r="A20" s="23" t="s">
        <v>861</v>
      </c>
      <c r="B20" s="24" t="n">
        <f aca="false">SUM(B17:B19)</f>
        <v>6</v>
      </c>
      <c r="C20" s="23" t="n">
        <f aca="false">SUM(C17:C19)</f>
        <v>0</v>
      </c>
      <c r="D20" s="23" t="n">
        <f aca="false">SUM(D17:D19)</f>
        <v>60</v>
      </c>
      <c r="E20" s="25" t="n">
        <f aca="false">IFERROR(C20/D20,0)</f>
        <v>0</v>
      </c>
    </row>
  </sheetData>
  <mergeCells count="6">
    <mergeCell ref="A1:F1"/>
    <mergeCell ref="A2:F2"/>
    <mergeCell ref="A5:F5"/>
    <mergeCell ref="A8:F8"/>
    <mergeCell ref="A11:F11"/>
    <mergeCell ref="A15:F15"/>
  </mergeCells>
  <dataValidations count="1">
    <dataValidation allowBlank="true" error="Nilai harus 0, 5, 10, atau TDD." errorStyle="stop" errorTitle="Error" operator="between" showDropDown="false" showErrorMessage="true" showInputMessage="false" sqref="D6:D7 D9:D10 D12:D13" type="list">
      <formula1>"10,5,0,TDD"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42"/>
    <col collapsed="false" customWidth="true" hidden="false" outlineLevel="0" max="3" min="3" style="0" width="12"/>
    <col collapsed="false" customWidth="true" hidden="false" outlineLevel="0" max="6" min="4" style="0" width="14"/>
  </cols>
  <sheetData>
    <row r="1" customFormat="false" ht="25.5" hidden="false" customHeight="true" outlineLevel="0" collapsed="false">
      <c r="A1" s="26" t="s">
        <v>862</v>
      </c>
      <c r="B1" s="26"/>
      <c r="C1" s="26"/>
      <c r="D1" s="26"/>
      <c r="E1" s="26"/>
      <c r="F1" s="26"/>
    </row>
    <row r="3" customFormat="false" ht="15" hidden="false" customHeight="false" outlineLevel="0" collapsed="false">
      <c r="A3" s="27" t="s">
        <v>863</v>
      </c>
      <c r="B3" s="27" t="s">
        <v>864</v>
      </c>
      <c r="C3" s="27" t="s">
        <v>60</v>
      </c>
      <c r="D3" s="27" t="s">
        <v>61</v>
      </c>
      <c r="E3" s="27" t="s">
        <v>62</v>
      </c>
      <c r="F3" s="27" t="s">
        <v>63</v>
      </c>
    </row>
    <row r="4" customFormat="false" ht="15" hidden="false" customHeight="false" outlineLevel="0" collapsed="false">
      <c r="A4" s="21" t="n">
        <v>1</v>
      </c>
      <c r="B4" s="21" t="s">
        <v>865</v>
      </c>
      <c r="C4" s="20" t="n">
        <v>6</v>
      </c>
      <c r="D4" s="21" t="n">
        <f aca="false">'Bab I - SKP (Rinci)'!C20</f>
        <v>0</v>
      </c>
      <c r="E4" s="21" t="n">
        <f aca="false">'Bab I - SKP (Rinci)'!D20</f>
        <v>60</v>
      </c>
      <c r="F4" s="22" t="n">
        <f aca="false">IFERROR(D4/E4,0)</f>
        <v>0</v>
      </c>
    </row>
    <row r="5" customFormat="false" ht="15" hidden="false" customHeight="false" outlineLevel="0" collapsed="false">
      <c r="A5" s="21" t="n">
        <v>2</v>
      </c>
      <c r="B5" s="21" t="s">
        <v>866</v>
      </c>
      <c r="C5" s="20" t="n">
        <v>55</v>
      </c>
      <c r="D5" s="21" t="n">
        <f aca="false">'Bab II - TKK (Rinci)'!C101</f>
        <v>0</v>
      </c>
      <c r="E5" s="21" t="n">
        <f aca="false">'Bab II - TKK (Rinci)'!D101</f>
        <v>550</v>
      </c>
      <c r="F5" s="22" t="n">
        <f aca="false">IFERROR(D5/E5,0)</f>
        <v>0</v>
      </c>
    </row>
    <row r="6" customFormat="false" ht="15" hidden="false" customHeight="false" outlineLevel="0" collapsed="false">
      <c r="A6" s="21" t="n">
        <v>3</v>
      </c>
      <c r="B6" s="21" t="s">
        <v>867</v>
      </c>
      <c r="C6" s="20" t="n">
        <v>27</v>
      </c>
      <c r="D6" s="21" t="n">
        <f aca="false">'Bab III - MI (Rinci)'!C51</f>
        <v>0</v>
      </c>
      <c r="E6" s="21" t="n">
        <f aca="false">'Bab III - MI (Rinci)'!D51</f>
        <v>270</v>
      </c>
      <c r="F6" s="22" t="n">
        <f aca="false">IFERROR(D6/E6,0)</f>
        <v>0</v>
      </c>
    </row>
    <row r="7" customFormat="false" ht="15" hidden="false" customHeight="false" outlineLevel="0" collapsed="false">
      <c r="A7" s="21" t="n">
        <v>4</v>
      </c>
      <c r="B7" s="21" t="s">
        <v>868</v>
      </c>
      <c r="C7" s="20" t="n">
        <v>22</v>
      </c>
      <c r="D7" s="21" t="n">
        <f aca="false">'Bab IV - KKS (Rinci)'!C48</f>
        <v>0</v>
      </c>
      <c r="E7" s="21" t="n">
        <f aca="false">'Bab IV - KKS (Rinci)'!D48</f>
        <v>220</v>
      </c>
      <c r="F7" s="22" t="n">
        <f aca="false">IFERROR(D7/E7,0)</f>
        <v>0</v>
      </c>
    </row>
    <row r="8" customFormat="false" ht="15" hidden="false" customHeight="false" outlineLevel="0" collapsed="false">
      <c r="A8" s="21" t="n">
        <v>5</v>
      </c>
      <c r="B8" s="21" t="s">
        <v>869</v>
      </c>
      <c r="C8" s="20" t="n">
        <v>66</v>
      </c>
      <c r="D8" s="21" t="n">
        <f aca="false">'Bab V - MFK (Rinci)'!C108</f>
        <v>0</v>
      </c>
      <c r="E8" s="21" t="n">
        <f aca="false">'Bab V - MFK (Rinci)'!D108</f>
        <v>660</v>
      </c>
      <c r="F8" s="22" t="n">
        <f aca="false">IFERROR(D8/E8,0)</f>
        <v>0</v>
      </c>
    </row>
    <row r="9" customFormat="false" ht="15" hidden="false" customHeight="false" outlineLevel="0" collapsed="false">
      <c r="A9" s="21" t="n">
        <v>6</v>
      </c>
      <c r="B9" s="21" t="s">
        <v>870</v>
      </c>
      <c r="C9" s="20" t="n">
        <v>126</v>
      </c>
      <c r="D9" s="21" t="n">
        <f aca="false">'Bab VI - PM (Rinci)'!C202</f>
        <v>0</v>
      </c>
      <c r="E9" s="21" t="n">
        <f aca="false">'Bab VI - PM (Rinci)'!D202</f>
        <v>1260</v>
      </c>
      <c r="F9" s="22" t="n">
        <f aca="false">IFERROR(D9/E9,0)</f>
        <v>0</v>
      </c>
    </row>
    <row r="10" customFormat="false" ht="15" hidden="false" customHeight="false" outlineLevel="0" collapsed="false">
      <c r="A10" s="21" t="n">
        <v>7</v>
      </c>
      <c r="B10" s="21" t="s">
        <v>871</v>
      </c>
      <c r="C10" s="20" t="n">
        <v>6</v>
      </c>
      <c r="D10" s="21" t="n">
        <f aca="false">'Bab VII - PPN (Rinci)'!C20</f>
        <v>0</v>
      </c>
      <c r="E10" s="21" t="n">
        <f aca="false">'Bab VII - PPN (Rinci)'!D20</f>
        <v>60</v>
      </c>
      <c r="F10" s="22" t="n">
        <f aca="false">IFERROR(D10/E10,0)</f>
        <v>0</v>
      </c>
    </row>
    <row r="11" customFormat="false" ht="15" hidden="false" customHeight="false" outlineLevel="0" collapsed="false">
      <c r="A11" s="28"/>
      <c r="B11" s="29" t="s">
        <v>872</v>
      </c>
      <c r="C11" s="30" t="n">
        <f aca="false">SUM(C4:C10)</f>
        <v>308</v>
      </c>
      <c r="D11" s="29" t="n">
        <f aca="false">SUM(D4:D10)</f>
        <v>0</v>
      </c>
      <c r="E11" s="29" t="n">
        <f aca="false">SUM(E4:E10)</f>
        <v>3080</v>
      </c>
      <c r="F11" s="31" t="n">
        <f aca="false">IFERROR(D11/E11,0)</f>
        <v>0</v>
      </c>
    </row>
    <row r="14" customFormat="false" ht="15" hidden="false" customHeight="false" outlineLevel="0" collapsed="false">
      <c r="A14" s="32" t="s">
        <v>873</v>
      </c>
      <c r="B14" s="32"/>
      <c r="C14" s="32"/>
      <c r="D14" s="32"/>
      <c r="E14" s="32"/>
      <c r="F14" s="32"/>
    </row>
    <row r="15" customFormat="false" ht="15" hidden="false" customHeight="false" outlineLevel="0" collapsed="false">
      <c r="A15" s="33" t="s">
        <v>874</v>
      </c>
      <c r="B15" s="33"/>
      <c r="C15" s="33"/>
      <c r="D15" s="33"/>
      <c r="E15" s="33"/>
      <c r="F15" s="33"/>
    </row>
    <row r="16" customFormat="false" ht="15" hidden="false" customHeight="false" outlineLevel="0" collapsed="false">
      <c r="A16" s="33" t="s">
        <v>875</v>
      </c>
      <c r="B16" s="33"/>
      <c r="C16" s="33"/>
      <c r="D16" s="33"/>
      <c r="E16" s="33"/>
      <c r="F16" s="33"/>
    </row>
    <row r="17" customFormat="false" ht="15" hidden="false" customHeight="false" outlineLevel="0" collapsed="false">
      <c r="A17" s="33" t="s">
        <v>876</v>
      </c>
      <c r="B17" s="33"/>
      <c r="C17" s="33"/>
      <c r="D17" s="33"/>
      <c r="E17" s="33"/>
      <c r="F17" s="33"/>
    </row>
    <row r="18" customFormat="false" ht="15" hidden="false" customHeight="false" outlineLevel="0" collapsed="false">
      <c r="A18" s="33" t="s">
        <v>877</v>
      </c>
      <c r="B18" s="33"/>
      <c r="C18" s="33"/>
      <c r="D18" s="33"/>
      <c r="E18" s="33"/>
      <c r="F18" s="33"/>
    </row>
  </sheetData>
  <mergeCells count="6">
    <mergeCell ref="A1:F1"/>
    <mergeCell ref="A14:F14"/>
    <mergeCell ref="A15:F15"/>
    <mergeCell ref="A16:F16"/>
    <mergeCell ref="A17:F17"/>
    <mergeCell ref="A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2026-07-08T02:26:06Z</dcterms:created>
  <dc:creator>openpyxl</dc:creator>
  <dc:description/>
  <dc:language>en-US</dc:language>
  <cp:lastModifiedBy/>
  <dcterms:modified xsi:type="dcterms:W3CDTF">2026-07-08T02:26:06Z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