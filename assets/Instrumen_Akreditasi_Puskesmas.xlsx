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Instrumen Penilaian" sheetId="2" state="visible" r:id="rId4"/>
    <sheet name="Bab I - Rinci" sheetId="3" state="visible" r:id="rId5"/>
    <sheet name="Bab II - Rinci" sheetId="4" state="visible" r:id="rId6"/>
    <sheet name="Bab III - Rinci" sheetId="5" state="visible" r:id="rId7"/>
    <sheet name="Bab IV - Rinci" sheetId="6" state="visible" r:id="rId8"/>
    <sheet name="Bab V - Rinci"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<sst xmlns="http://schemas.openxmlformats.org/spreadsheetml/2006/main" count="1159" uniqueCount="934">
  <si>
    <t xml:space="preserve">INSTRUMEN SELF-ASSESSMENT AKREDITASI</t>
  </si>
  <si>
    <t xml:space="preserve">PUSKESMAS (Pusat Kesehatan Masyarakat)</t>
  </si>
  <si>
    <t xml:space="preserve">Disusun untuk Koordinator Wilayah Kalimantan Tengah — Komite Akreditasi Kesehatan Pratama (KAKP) &amp; Komite Akreditasi Kesehatan Lanjutan (KAKL)</t>
  </si>
  <si>
    <t xml:space="preserve">A. TUJUAN</t>
  </si>
  <si>
    <t xml:space="preserve">Instrumen ini membantu fasilitas pelayanan kesehatan melakukan penilaian mandiri (self-assessment) kesiapan akreditasi sebelum pengajuan jadwal survei, mengacu pada struktur Bab dan Standar resmi yang ditetapkan Kementerian Kesehatan.</t>
  </si>
  <si>
    <t xml:space="preserve">B. DASAR HUKUM</t>
  </si>
  <si>
    <t xml:space="preserve">•  Peraturan Menteri Kesehatan Nomor 34 Tahun 2022 tentang Akreditasi Puskesmas, Klinik, Laboratorium Kesehatan, Unit Transfusi Darah, Tempat Praktik Mandiri Dokter, dan Tempat Praktik Mandiri Dokter Gigi.</t>
  </si>
  <si>
    <t xml:space="preserve">•  Keputusan Menteri Kesehatan RI Nomor HK.01.07/MENKES/165/2023 tentang Standar Akreditasi Pusat Kesehatan Masyarakat (Puskesmas).</t>
  </si>
  <si>
    <t xml:space="preserve">•  Keputusan Direktur Jenderal Pelayanan Kesehatan Nomor HK.02.02/D/4871/2023 tentang Instrumen Survei Akreditasi Puskesmas.</t>
  </si>
  <si>
    <t xml:space="preserve">C. METODE PENILAIAN ELEMEN PENILAIAN (RDOWS)</t>
  </si>
  <si>
    <t xml:space="preserve">•  R — Regulasi: dinilai melalui dokumen SK, pedoman/panduan, kerangka acuan, dan/atau SOP.</t>
  </si>
  <si>
    <t xml:space="preserve">•  D — Dokumen: dinilai melalui dokumen bukti seperti undangan, notula, daftar hadir, sertifikat, dsb.</t>
  </si>
  <si>
    <t xml:space="preserve">•  O — Observasi: dinilai melalui pengamatan langsung di lapangan.</t>
  </si>
  <si>
    <t xml:space="preserve">•  W — Wawancara: dinilai melalui wawancara kepada staf/pengelola/pasien.</t>
  </si>
  <si>
    <t xml:space="preserve">•  S — Simulasi: dinilai melalui simulasi atau peragaan suatu prosedur.</t>
  </si>
  <si>
    <t xml:space="preserve">D. SKOR ELEMEN PENILAIAN / STANDAR</t>
  </si>
  <si>
    <t xml:space="preserve">•  10 (Terpenuhi Penuh) — jika pencapaian ≥ 80% dari elemen penilaian, dibuktikan melalui telusur dokumen, observasi, dan/atau wawancara yang konsisten.</t>
  </si>
  <si>
    <t xml:space="preserve">•  5 (Terpenuhi Sebagian) — jika pencapaian 20%–79% dari elemen penilaian.</t>
  </si>
  <si>
    <t xml:space="preserve">•  0 (Tidak Terpenuhi) — jika pencapaian &lt; 20% dari elemen penilaian.</t>
  </si>
  <si>
    <t xml:space="preserve">E. CARA PENGGUNAAN</t>
  </si>
  <si>
    <t xml:space="preserve">1.  Untuk gambaran cepat tingkat Bab/Standar, buka sheet 'Instrumen Penilaian'.</t>
  </si>
  <si>
    <t xml:space="preserve">2.  Untuk self-assessment penuh per Elemen Penilaian (EP), buka sheet 'Bab I - Rinci' s.d. 'Bab V - Rinci' — memuat 329 EP resmi lengkap dengan Bukti/Fakta yang diharapkan.</t>
  </si>
  <si>
    <t xml:space="preserve">3.  Isi kolom Skor Diri (0/5/10/TDD) untuk setiap EP. TDD = Tidak Dapat Dinilai, dipakai jika EP tersebut tidak relevan dengan jenis Puskesmas (rawat jalan/rawat inap).</t>
  </si>
  <si>
    <t xml:space="preserve">4.  Isi kolom Catatan/Rencana Tindak Lanjut untuk EP yang belum terpenuhi penuh. Ringkasan capaian per Standar dan per Bab terhitung otomatis (EP berstatus TDD dikeluarkan dari penyebut).</t>
  </si>
  <si>
    <t xml:space="preserve">F. CATATAN PENTING</t>
  </si>
  <si>
    <t xml:space="preserve">Sheet 'Bab I - Rinci' s.d. 'Bab V - Rinci' memuat 329 Elemen Penilaian dengan redaksi ASLI, diambil langsung dari template resmi Instrumen Survei Akreditasi Puskesmas (Kepdirjen Yankes No. HK.02.02/D/4871/2023) yang diberikan oleh Bapak Hary Satrisno — bukan lagi rekonstruksi. Sheet 'Instrumen Penilaian' tetap tersedia sebagai ringkasan tingkat Standar untuk kebutuhan pelaporan cepat/dashboard.</t>
  </si>
  <si>
    <t xml:space="preserve">Bab</t>
  </si>
  <si>
    <t xml:space="preserve">No. Standar</t>
  </si>
  <si>
    <t xml:space="preserve">Nama Standar</t>
  </si>
  <si>
    <t xml:space="preserve">Skor Diri
(0/5/10)</t>
  </si>
  <si>
    <t xml:space="preserve">Bukti Dokumen Pendukung</t>
  </si>
  <si>
    <t xml:space="preserve">Catatan / Rencana Tindak Lanjut</t>
  </si>
  <si>
    <t xml:space="preserve">Bab I. Kepemimpinan dan Manajemen Puskesmas (KMP)</t>
  </si>
  <si>
    <t xml:space="preserve">1.1</t>
  </si>
  <si>
    <t xml:space="preserve">Perencanaan dan kemudahan akses bagi pengguna layanan</t>
  </si>
  <si>
    <t xml:space="preserve">1.2</t>
  </si>
  <si>
    <t xml:space="preserve">Tata kelola organisasi</t>
  </si>
  <si>
    <t xml:space="preserve">1.3</t>
  </si>
  <si>
    <t xml:space="preserve">Manajemen sumber daya manusia</t>
  </si>
  <si>
    <t xml:space="preserve">1.4</t>
  </si>
  <si>
    <t xml:space="preserve">Manajemen fasilitas dan keselamatan</t>
  </si>
  <si>
    <t xml:space="preserve">1.5</t>
  </si>
  <si>
    <t xml:space="preserve">Manajemen keuangan</t>
  </si>
  <si>
    <t xml:space="preserve">1.6</t>
  </si>
  <si>
    <t xml:space="preserve">Pengawasan, pengendalian, dan penilaian kinerja</t>
  </si>
  <si>
    <t xml:space="preserve">1.7</t>
  </si>
  <si>
    <t xml:space="preserve">Pembinaan Puskesmas oleh dinas kesehatan daerah kabupaten/kota</t>
  </si>
  <si>
    <t xml:space="preserve">Bab II. Penyelenggaraan UKM Berorientasi Promotif &amp; Preventif</t>
  </si>
  <si>
    <t xml:space="preserve">2.1</t>
  </si>
  <si>
    <t xml:space="preserve">Perencanaan terpadu pelayanan UKM</t>
  </si>
  <si>
    <t xml:space="preserve">2.2</t>
  </si>
  <si>
    <t xml:space="preserve">Kemudahan akses sasaran dan masyarakat terhadap pelayanan UKM</t>
  </si>
  <si>
    <t xml:space="preserve">2.3</t>
  </si>
  <si>
    <t xml:space="preserve">Penggerakan dan pelaksanaan pelayanan UKM</t>
  </si>
  <si>
    <t xml:space="preserve">2.4</t>
  </si>
  <si>
    <t xml:space="preserve">Pembinaan berjenjang pelayanan UKM</t>
  </si>
  <si>
    <t xml:space="preserve">2.5</t>
  </si>
  <si>
    <t xml:space="preserve">Penguatan pelayanan UKM dengan PIS-PK</t>
  </si>
  <si>
    <t xml:space="preserve">2.6</t>
  </si>
  <si>
    <t xml:space="preserve">Penyelenggaraan UKM esensial</t>
  </si>
  <si>
    <t xml:space="preserve">2.7</t>
  </si>
  <si>
    <t xml:space="preserve">Penyelenggaraan UKM pengembangan</t>
  </si>
  <si>
    <t xml:space="preserve">2.8</t>
  </si>
  <si>
    <t xml:space="preserve">Pengawasan, pengendalian, dan penilaian kinerja pelayanan UKM</t>
  </si>
  <si>
    <t xml:space="preserve">Bab III. Penyelenggaraan UKP, Laboratorium &amp; Kefarmasian</t>
  </si>
  <si>
    <t xml:space="preserve">3.1</t>
  </si>
  <si>
    <t xml:space="preserve">Penyelenggaraan pelayanan klinis</t>
  </si>
  <si>
    <t xml:space="preserve">3.2</t>
  </si>
  <si>
    <t xml:space="preserve">Pengkajian, rencana asuhan, dan pemberian asuhan</t>
  </si>
  <si>
    <t xml:space="preserve">3.3</t>
  </si>
  <si>
    <t xml:space="preserve">Pelayanan gawat darurat</t>
  </si>
  <si>
    <t xml:space="preserve">3.4</t>
  </si>
  <si>
    <t xml:space="preserve">Pelayanan anestesi lokal dan tindakan</t>
  </si>
  <si>
    <t xml:space="preserve">3.5</t>
  </si>
  <si>
    <t xml:space="preserve">Pelayanan gizi</t>
  </si>
  <si>
    <t xml:space="preserve">3.6</t>
  </si>
  <si>
    <t xml:space="preserve">Pemulangan dan tindak lanjut pasien</t>
  </si>
  <si>
    <t xml:space="preserve">3.7</t>
  </si>
  <si>
    <t xml:space="preserve">Pelayanan rujukan</t>
  </si>
  <si>
    <t xml:space="preserve">3.8</t>
  </si>
  <si>
    <t xml:space="preserve">Penyelenggaraan rekam medis</t>
  </si>
  <si>
    <t xml:space="preserve">3.9</t>
  </si>
  <si>
    <t xml:space="preserve">Penyelenggaraan pelayanan laboratorium</t>
  </si>
  <si>
    <t xml:space="preserve">3.10</t>
  </si>
  <si>
    <t xml:space="preserve">Penyelenggaraan pelayanan kefarmasian</t>
  </si>
  <si>
    <t xml:space="preserve">Bab IV. Program Prioritas Nasional (PPN)</t>
  </si>
  <si>
    <t xml:space="preserve">4.1</t>
  </si>
  <si>
    <t xml:space="preserve">Pencegahan dan penurunan stunting</t>
  </si>
  <si>
    <t xml:space="preserve">4.2</t>
  </si>
  <si>
    <t xml:space="preserve">Penurunan jumlah kematian ibu dan jumlah kematian bayi</t>
  </si>
  <si>
    <t xml:space="preserve">4.3</t>
  </si>
  <si>
    <t xml:space="preserve">Peningkatan cakupan dan mutu imunisasi</t>
  </si>
  <si>
    <t xml:space="preserve">4.4</t>
  </si>
  <si>
    <t xml:space="preserve">Program penanggulangan tuberkulosis</t>
  </si>
  <si>
    <t xml:space="preserve">4.5</t>
  </si>
  <si>
    <t xml:space="preserve">Pengendalian penyakit tidak menular dan faktor risikonya</t>
  </si>
  <si>
    <t xml:space="preserve">Bab V. Peningkatan Mutu Puskesmas (PMP)</t>
  </si>
  <si>
    <t xml:space="preserve">5.1</t>
  </si>
  <si>
    <t xml:space="preserve">Peningkatan mutu berkesinambungan</t>
  </si>
  <si>
    <t xml:space="preserve">5.2</t>
  </si>
  <si>
    <t xml:space="preserve">Program manajemen risiko</t>
  </si>
  <si>
    <t xml:space="preserve">5.3</t>
  </si>
  <si>
    <t xml:space="preserve">Sasaran keselamatan pasien</t>
  </si>
  <si>
    <t xml:space="preserve">5.4</t>
  </si>
  <si>
    <t xml:space="preserve">Pelaporan insiden keselamatan pasien dan pengembangan budaya keselamatan</t>
  </si>
  <si>
    <t xml:space="preserve">5.5</t>
  </si>
  <si>
    <t xml:space="preserve">Program pencegahan dan pengendalian infeksi</t>
  </si>
  <si>
    <t xml:space="preserve">RINGKASAN CAPAIAN</t>
  </si>
  <si>
    <t xml:space="preserve">Jumlah Standar</t>
  </si>
  <si>
    <t xml:space="preserve">Total Skor</t>
  </si>
  <si>
    <t xml:space="preserve">Skor Maksimal</t>
  </si>
  <si>
    <t xml:space="preserve">Capaian (%)</t>
  </si>
  <si>
    <t xml:space="preserve">TOTAL</t>
  </si>
  <si>
    <t xml:space="preserve">BAB I. KEPEMIMPINAN DAN MANAJEMEN PUSKESMAS (KMP) — KONTEN RESMI LENGKAP</t>
  </si>
  <si>
    <t xml:space="preserve">Sumber: Instrumen Survei Akreditasi Puskesmas resmi (Kepdirjen Yankes No. HK.02.02/D/4871/2023), diambil langsung dari template resmi yang diberikan Bapak Hary Satrisno. Redaksi Elemen Penilaian dan Bukti/Fakta adalah teks ASLI.</t>
  </si>
  <si>
    <t xml:space="preserve">Standar</t>
  </si>
  <si>
    <t xml:space="preserve">Kriteria</t>
  </si>
  <si>
    <t xml:space="preserve">Elemen Penilaian (EP)</t>
  </si>
  <si>
    <t xml:space="preserve">Skor Diri
(0/5/10/TDD)</t>
  </si>
  <si>
    <t xml:space="preserve">Bukti Dokumen / Fakta yang Diharapkan</t>
  </si>
  <si>
    <t xml:space="preserve">STANDAR 1.1  —  Perencanaan dan Kemudahan Akses bagi Pengguna Layanan</t>
  </si>
  <si>
    <t xml:space="preserve">1.1.1</t>
  </si>
  <si>
    <t xml:space="preserve">a) Ditetapkan visi, misi, tujuan, dan tata nilai Puskesmas yang menjadi acuan dalam penyelenggaraan Puskesmas mulai dari perencanaan, pelaksanaan kegiatan hingga evaluasi kinerja Puskesmas. (R)</t>
  </si>
  <si>
    <t xml:space="preserve">Ada SK tentang Penetapan Visi, Misi, Tujuan, dan Tata Nilai Puskesmas. Catatan: jika kebijakan daerah
menyatakan bahwa penetapan visi dan misi hanya oleh kepala daerah, maka kepala Puskesmas hanya
menetapkan tujuan dan tata nilai.</t>
  </si>
  <si>
    <t xml:space="preserve">b) Ditetapkan jenis-jenis pelayanan yang disediakan berdasarkan hasil identifikasi dan analisis sesuai  dengan ketentuan yang berlaku. (R, D, W)</t>
  </si>
  <si>
    <t xml:space="preserve">Ada SK tentang penetapan jenis-jenis pelayanan  di puskesmas, ada hasil identifikasi dan analisis SMD, MMD, PIS-PK, PKP yang mendasari jenis-jenis pelayanan khususnya pelayanan yang bersifat pengembangan baik UKM maupun UKP, ada hasil wawancara dengan Kapus dengan KTU ttg proses identifikasi dan analisis yang mendasari penetapan jenis-jenis pelayanan.</t>
  </si>
  <si>
    <t xml:space="preserve">c) Rencana Lima Tahunan Puskesmas disusun dengan melibatkan lintas program dan lintas sector, dengan  berdasarkan pada rencana strategis dnas kesehatan daerah kabupaten/ kota. ( R, D,W)</t>
  </si>
  <si>
    <t xml:space="preserve">Ada Rencana Lima Tahunan Puskesmas,  ada bukti pertemuan LP dan LS dalam penyusunan Rencana Lima Tahunan Puskesmas, ada undangan, daftar hadir, notulen, dokumentasi, ada hasil wawancara dengan Kapus, KTU dan Tim PTP ttg proses penyusunan Rencana Lima Tahunan. Catatan : berlaku untuk Rencana Lima Tahunan yang disusun 2 terakhir saat survei dilaksanakan.</t>
  </si>
  <si>
    <t xml:space="preserve">d) Rencana Usulan Kegiatan (RUK) disusun dengan melibatkan lintas program dan lintas sektor, berdasarkan rencana lima tahunan Puskesmas, hasil analisis kebutuhan dan harapan masyarakat, dan hasil analisis data kinerja. (R, D, W).</t>
  </si>
  <si>
    <t xml:space="preserve">Ada  Rencana Usulan Kegiatan (RUK) tahun n (dan tahun n+1), ada Rencana Lima Tahunan Puskesmas, ada hasil analisis kebutuhan dan harapan masyarakat, ada hasil analisis PKP,  ada bukti pertemuan Lokmin LP/LS, ada undangn, daftar hadir, notulen, dokumentasi. ada hasil wawancara dengan Kepala Puskesmas, KTU dan Tim Manajemen Puskesmas ttg Proses penyusunan RUK.</t>
  </si>
  <si>
    <t xml:space="preserve">e) Rencana pelaksanaan kegiatan (RPK) Puskesmas disusun bersama lintas program sesuai dengan  alokasi anggaran yang ditetapkan oleh dinas kesehatan daerah kabupaten/ kota. (R, D, W)</t>
  </si>
  <si>
    <t xml:space="preserve">Ada Rencana Pelaksanaan Kegiatan (RPK) Tahunan Tahun n, ada bukti proses penyusunan RPK yang melibatkan lintas program, ada  undangn, daftar hadir, notulen, dan dokumentasi, ada hasil wawancara dengan Kepala Puskesmas, KTU dan Tim Manajemen Puskesmas ttg Proses penyusunan RPK.</t>
  </si>
  <si>
    <t xml:space="preserve">f) Rencana pelaksanaan kegiatan bulanan disusun sesuai dengan rencana pelaksanaan kegiatan tahunan serta hasil pemantauan dan capaian kinerja bulanan. (R, D, W)</t>
  </si>
  <si>
    <t xml:space="preserve">Ada Rencana Pelaksanaan Kegiatan (RPK) bulanan, ada hasil pemantauan dan capaian kinerja bulanan,  ada bukti proses penyusunan RPK bulanan yang melibatkan LP, ada undangn, daftar hadir, notulen, dokumentasi.ada hasil wawancara dengan Kepala Puskesmas, KTU dan Tim Manajemen Puskesmas ttg Proses penyusunan RPK bulanan.</t>
  </si>
  <si>
    <t xml:space="preserve">g) Apabila ada perubahan kebijakan pemerintah dan/ atau pemerintah daerah dilakukan revisi perencanaan sesuai kebijakan yang ditetapkan. (D, W).</t>
  </si>
  <si>
    <t xml:space="preserve">Ada Rencana Lima Tahunan, dan/atau Rencana Pelaksanaan Kegiatan (RPK) revisi, ada bukti pertemuan pembahasan revisi, ada undangan, daftar hadir, notulen, dokumentasi. ada hasil wawancara dengan Kepala Puskesmas, KTU dan Tim Manajemen Puskesmas ttg Proses penyusunan revisi anggaran.</t>
  </si>
  <si>
    <t xml:space="preserve">1.1.2</t>
  </si>
  <si>
    <t xml:space="preserve">a) Ditetapkan kebijakan tentang hak dan kewajiban pasien (R)</t>
  </si>
  <si>
    <t xml:space="preserve">Ada SK Kepala Puskesmas tentang penetapan Hak dan Kewajiban pasien.</t>
  </si>
  <si>
    <t xml:space="preserve">b) Dilakukan sosialisasi tentang hak dan kewajiban pasien serta jenis-jenis pelayanan yang disediakan oleh Puskesmas kepada pengguna layanan dan kepada petugas dengan menggunakan strategi komunikasi yang ditetapkan Puskesmas (R, D, O, W).</t>
  </si>
  <si>
    <t xml:space="preserve">Ada SK Kepala Puskesmas ttg media komunikasi dan koordinasi, ada bukti sosialisasi hak dan kewajiban pasien, jnis-jenis pelayanan dan kegiatan UKM, UKP dan kegiatan lainnya kepada petugas dan masyarakat, ada sosialisasi melalui media berupa : banner, poster  leaflet. ada bukti hasil observasi sosialisasi melalui media, ada hasil wawancara dengan KTU, PJ.UKP, PJ.UKM tentang proses sosialisasi.</t>
  </si>
  <si>
    <t xml:space="preserve">c) Dilakukan evaluasi dan tindak lanjut kepatuhan petugas dalam implementasi pemenuhan hak dan kewajiban pasien, dan hasil sosialisasi jenis-jenis pelayanan yang disediakan oleh Puskesmas kepada pengguna layanan (D, O, W).</t>
  </si>
  <si>
    <t xml:space="preserve">Ada bukti kegiatan evaluasi ttg Hak dan Kewajiban Pasien, Jenis-jenis pelayanan dan kegiatan Puskesmas, ada format evaluasi untuk pengguna layanan dan LP/LS, ada   analisis masalah,  ada rencana tindak lanjut dan bukti tindak lanjut. ada bukti hasil observasi sosialisasi melalui media, ada hasil wawancara dengan KTU, PJ.UKP, PJ.UKM tentang proses evaluasi.</t>
  </si>
  <si>
    <t xml:space="preserve">d) Dilakukan upaya untuk memperoleh umpan balik pengguna layanan dan pengukuran kepuasan pasien serta penanganan aduan/keluhan dari pengguna layanan maupun tindak lanjutnya yang didokumentasikan sesuai dengan aturan yang telah ditetapkan dan dapat diakses oleh publik (R, D, O, W).</t>
  </si>
  <si>
    <t xml:space="preserve">Ada SH tentang pengelolaan umpan balik dari pengguna layanan, ada SOP pengelolaan umpan balik dari penggunaa layanan, ada SOP pengukuran kepuasan pasien, ada SOP penabgabab aduan/keluhan dari pengguna layanan, ada bukti umpan balik pengguna layanan yang diperoleh secara berkala tindak lanjutnya, ada Bukti pengukuran kepuasan pasien (termasuk dapat menggunakan pengukuran INM Kepuasan Pasien) dan tindak lanjutnya, ada Bukti penanganan aduan/keluhan dari pengguna layanan dan tindak lanjutnya. ada bukti hasil observasi terhadap bentuk  dan proses upaya memperoleh umpan balik pengguna layanan, ada hasil wawancara dengan PJ.Mutu dan petugas yang ditunjuk tentang informasi terkait proses memperoleh umpan balik pengguna layanan, pengukuran kepuasan pasien serta penanganan aduan/keluhan dari pengguna layanan dan tindak lanjutnya.</t>
  </si>
  <si>
    <t xml:space="preserve">STANDAR 1.2  —  Tata Kelola Organisasi</t>
  </si>
  <si>
    <t xml:space="preserve">1.2.1</t>
  </si>
  <si>
    <t xml:space="preserve">a) Kepala Puskesmas menetapkan penanggung jawab dan koordinator pelayanan Puskesmas sesuai struktur organisasi yang ditetapkan (R).</t>
  </si>
  <si>
    <t xml:space="preserve">Ada SK Kepala Puskesmas ttg penunjukan Penanggung Jawab dan Koordinator pelayanan Puskesmas sesuai dengan Struktur Organisasi Puskesmas yang dilengkapi dengan lampiran; uraian tugas, wewenang  dan tanggung jawab .</t>
  </si>
  <si>
    <t xml:space="preserve">b) Ditetapkan kode etik perilaku yang berlaku untuk seluruh pegawai yang bekerja di Puskesmas serta dilakukan evaluasi terhadap pelaksanaannya dan dilakukan tindak lanjutnya (R, D, W).</t>
  </si>
  <si>
    <t xml:space="preserve">Ada SK Kepala Puskesmas ttg.  penetapan kode etik perilaku pegawai Puskesmas Catatan : tata nilai dan budaya keselamatan dapat menjadi bagian dari kode etik perilaku., ada bukti evaluasi pelaksanaannya,  Catatan : terintegrasi dengan penilaian kinerja pegawai, ada bukti tindak lanjut hasil evaluasi pelaksanaan kode etik perilaku. ada hasil wawancara dengan Kapus, KTU dan Para penanggung jawab tentang proses dan hasil evaluasi pelaksanaan kode etik perilaku pegawai serta tindak lanjutnya.</t>
  </si>
  <si>
    <t xml:space="preserve">c) Terdapat kebijakan dan prosedur yang jelas dalam pendelegasian wewenang manajerial dari kepala Puskesmas kepada penanggung jawab upaya, dari penanggung jawab upaya kepada koordinator pelayanan, dan dari koordinator pelayanan kepada pelaksana kegiatan (R, D).</t>
  </si>
  <si>
    <t xml:space="preserve">Ada SK Kepala Puskesmas ttg. Pendelegasian wewenang Catatan: SK Pendelegasian Wewenang Manajerial dapat terintegrasi dengan SK Pendelegasian Wewenang Klinis.ada SOP tentang Pendelegasian wewenang manajerial, dan ada bukti surat pendelegasian wewenang.</t>
  </si>
  <si>
    <t xml:space="preserve">1.2.2</t>
  </si>
  <si>
    <t xml:space="preserve">a) Ditetapkan pedoman tata naskah Puskesmas (R).</t>
  </si>
  <si>
    <t xml:space="preserve">Ada Pedoman Tata Naskah Puskesmas  yang mengacu pada tata naskah Dinas Kesehatan Kab/Kota dan atau perundang-undangan yang berlaku.</t>
  </si>
  <si>
    <t xml:space="preserve">b) Ditetapkan kebijakan, pedoman/panduan, prosedur, dan kerangka acuan untuk KMP, penyelenggaraan UKM serta penyelenggaraan UKP, laboratorium, dan kefarmasian yang didasarkan pada ketentuan peraturan perundang-undangan dan/atau berbasis bukti ilmiah terkini (R, W).</t>
  </si>
  <si>
    <t xml:space="preserve">Ada dokumen regulasi ( SK, Pedoman, Panduan, SOP, KAK) untuk  Penyelenggaraan kegiatan KMP, UKM, UKPP,  dan  Format  Regulasi  harus mengacu pada Pedoman Tata naskah Puskesmas, ada hasil wawancara dengan KTU dan penanggung jawab upaya: penggalian informasi terkait proses penyusunan dokumen regulasi.</t>
  </si>
  <si>
    <t xml:space="preserve">c) Dilakukan pengendalian, penataan, dan distribusi dokumen sesuai dengan prosedur yang telah ditetapkan (R, D, O, W).</t>
  </si>
  <si>
    <t xml:space="preserve">Ada SOP tentang Pengendalian Dokumen. Ada SOP tentang Penataan Dokumen, ada SOP tentang Distribusi Dokumen. Catatan: yang dimaksud dengan dokumen adalah dokumen internal dan dokumen eksternal. Ada Bukti pengendalian dan distribusi dokumen: bukti penomoran regulasi internal, rekapitulasi distribusi dokumen, bukti distribusi
dokumen. dilakkan observasi terhadap pengendalian, penataan, dan distribusi dokumen., ada hasil wawancara dengan KTU dan petugas yang ditunjuk untuk pengendalian dokumen:penggalian informasi terkait proses pengendalian, penataan, dan distribusi dokumen.</t>
  </si>
  <si>
    <t xml:space="preserve">1.2.3</t>
  </si>
  <si>
    <t xml:space="preserve">a) Ditetapkan indikator kinerja pembinaan jaringan pelayanan dan jejaring Puskesmas (R).</t>
  </si>
  <si>
    <t xml:space="preserve">Ada SK Puskesmas tentang Indikator Kinerja Pembinaan Jaringan Pelayanan dan Jejaring
Puskesmas.</t>
  </si>
  <si>
    <t xml:space="preserve">b) Dilakukan identifikasi jaringan pelayanan dan jejaring di wilayah kerja Puskesmas untuk optimalisasi koordinasi dan/atau rujukan di bidang upaya kesehatan (D).</t>
  </si>
  <si>
    <t xml:space="preserve">Ada  Daftar identifikasi jaringan pelayanan dan jejaring Puskesmas.</t>
  </si>
  <si>
    <t xml:space="preserve">c) Disusun dan dilaksanakan program pembinaan terhadap jaringan pelayanan dan jejaring Puskesmas dalam rangka mencapai indikator kinerja pembinaan dengan jadwal dan penanggung jawab yang jelas (R, D, W).</t>
  </si>
  <si>
    <t xml:space="preserve">Ada Kerangka acuan kegiatan pembinaan terhadap jaringan pelayanan dan jejaring Puskesmas, ada Jadwal pembinaan jaringan pelayanan dan jejaring Puskesmas, ada Laporan pelaksanaan pembinaan terhadap jaringan pelayanan dan jejaring Puskesmas, ada hasil wawancara dengan PJ Jaringan Pelayanan dan Jejaring Puskesmas: penggalian informasi terkait program, pelaksanaan, evaluasi, dan tindak lanjutnya terhadap pembinaan jaringan pelayanan dan jejaring Puskesmas.</t>
  </si>
  <si>
    <t xml:space="preserve">d) Dilakukan evaluasi dan tindak lanjut terhadap pencapaian indikator kinerja pembinaan jaringan pelayanan dan jejaring Puskesmas (D).</t>
  </si>
  <si>
    <t xml:space="preserve">Ada hasil evaluasi Pembinaan sesuai rencana dan jadwal pelaksanaan kegiatan, ada  RTL, dan ada strategi tindak lanjut PDCA/PDSA</t>
  </si>
  <si>
    <t xml:space="preserve">1.2.4</t>
  </si>
  <si>
    <t xml:space="preserve">a) Dilaksanakan pengumpulan, penyimpanan, analisis data, dan pelaporan serta distribusi informasi sesuai dengan ketentuan peraturan perundang-undangan terkait sistem informasi Puskesmas (R, D, W).</t>
  </si>
  <si>
    <t xml:space="preserve">Ada SK Kepala Puskesmas tentang Pengumpulan, Penyimpanan, dan Analisis Data serta Pelaporan dan Distribusi Informasi. ada SOP tentang Pengumpulan dan Penyimpanan Laporan. ada SOP tentang Analisis Data. ada SOP tentang Pelaporan dan Distribusi Informasi. Catatan: Jika menggunakan sistem informasi, maka SOP poin 2 dan poin 4 menyesuaikan. ada hasil wawancara dengan KTU, para PJ, para Koordinator Pelayanan dan Pelaksana Kegiatan: penggalian informasi terkait proses pengumpulan, penyimpanan, dan analisis data serta pelaporan dan distribusi informasi.</t>
  </si>
  <si>
    <t xml:space="preserve">b) Dilakukan evaluasi dan tindak lanjut terhadap penyelenggaraan sistem informasi Puskesmas secara periodik (D, W).</t>
  </si>
  <si>
    <t xml:space="preserve">Ada Bukti evaluasi penyelenggaraan Sistem Informasi Puskesmas, ada Bukti hasil tindak lanjut, ada hasil wawancara dengan KTU dan dan petugas
Sistem Informasi Puskesmas: penggalian informasi terkait proses dan hasil evaluasi serta tindak lanjut penyelenggaraan Sistem Informasi Puskesmas.</t>
  </si>
  <si>
    <t xml:space="preserve">c) Terdapat informasi pencapaian kinerja Puskesmas melalui sistem informasi Puskesmas (D, O).</t>
  </si>
  <si>
    <t xml:space="preserve">Ada Bukti pencapaian kinerja Puskesmas sesuai dengan sistem informasi yang digunakan, ada hasil observasi surveior terhadap penyajian informasi pencapaian kinerja Puskesmas.</t>
  </si>
  <si>
    <t xml:space="preserve">1.2.5</t>
  </si>
  <si>
    <t xml:space="preserve">a) Puskesmas mempunyai prosedur pelaporan dan penyelesaian bila terjadi dilema etik dalam pelayanan UKP dan pelayanan UKM (R).</t>
  </si>
  <si>
    <t xml:space="preserve">Ada SOP tentang Pelaporan dan Penyelesaian Dilema Etik.</t>
  </si>
  <si>
    <t xml:space="preserve">b) Dilaksanakan pelaporan apabila terjadi dilema etik dalam pelayanan UKP dan pelayanan UKM (D, W).</t>
  </si>
  <si>
    <t xml:space="preserve">Ada bukti pelaporan dilema etik, ada hasil wawancara dengan Kapus tentang  informasi terkait dilema etik yang pernah terjadi dan pelaksanaan pelaporannya.</t>
  </si>
  <si>
    <t xml:space="preserve">c) Terdapat bukti bahwa pimpinan dan/atau pegawai Puskesmas mendukung penyelesaian dilema etik dalam pelayanan UKP dan pelayanan UKM dan telah dilaksanakan sesuai regulasi (D, W).</t>
  </si>
  <si>
    <t xml:space="preserve">Ada bukti  dukungan kepala dan/atau pegawai
Puskesmas dalam penanganan/penyelesaian dilema etik. Ada hasil wawancara dengan Kapus tentang informasi terkait proses penanganan terhadap dilema
etik yang pernah terjadi dan bentuk dukungan kepala
dan/atau pegawai Puskesmas dalam penanganan/
penyelesaiannya.</t>
  </si>
  <si>
    <t xml:space="preserve">STANDAR 1.3  —  Manajemen Sumber Daya Manusia</t>
  </si>
  <si>
    <t xml:space="preserve">1.3.1</t>
  </si>
  <si>
    <t xml:space="preserve">a) Dilakukan analisis jabatan dan analisis beban kerja sesuai kebutuhan pelayanan dan ketentuan peraturan perundang-undangan (D, W).</t>
  </si>
  <si>
    <t xml:space="preserve">Ada  bukti analisis jabatan, ada analisis beban kerja, ada Bukti pelaksanaan analisis, minimal daftar hadir dan notulen yang diserta dengan foto kegiatan, ada hasil wawancara dengan Kapus dan KTU tentang informasi terkait proses analisis jabatan dan analisis beban kerja.</t>
  </si>
  <si>
    <t xml:space="preserve">b) Disusun peta jabatan, uraian jabatan dan kebutuhan tenaga berdasar hasil analisis jabatan dan hasil analisis beban kerja (D, W).</t>
  </si>
  <si>
    <t xml:space="preserve">Ada Dokumen peta jabatan yang mengacu pada struktur organisasi Puskesmas, ada uraian jabatan, dan dokumen kebutuhan tenaga, ada hasil wawancara dengan Kapus dan KTU : tentang penggalian informasi terkait proses penyusunan peta jabatan dan  uraian jabatan serta kebutuhan tenaga.</t>
  </si>
  <si>
    <t xml:space="preserve">c) Dilakukan upaya untuk pemenuhan kebutuhan tenaga baik dari jenis, jumlah maupun kompetensi sesuai dengan peta jabatan dan hasil analisis beban kerja (D, W).</t>
  </si>
  <si>
    <t xml:space="preserve">Ada surat usulan kepada Kepala Dinas Kesehatan Kab/Kota ttg. rencana kebutuhan tenaga berdasarkan analisis jabatan dan  analis beban kerja, yang meliputi jenis, jumlah dan kompetensi, ada hasil wawancara dengan Kapus dan KTU : penggalian informasi terkait proses pemenuhan tenaga dan hasilnya.</t>
  </si>
  <si>
    <t xml:space="preserve">d) Terdapat bukti Puskesmas mengusulkan kredensial dan/atau rekredensial tenaga kesehatan kepada tim kredensial dinas kesehatan daerah kabupaten/kota dan dilakukan tindak lanjut terhadap hasil kredensial dan/atau rekredensial sesuai ketentuan yang berlaku (D, W).</t>
  </si>
  <si>
    <t xml:space="preserve">Ada bukti Surat permohonan kredensial dan/atau rekredensial,  ada Surat penugasan klinis yang merujuk pada penetapan kewenangan klinis dari tim kredensial dinas kesehatan, ada hasil wawancara dengan Kapus : tentang penggalian informasi terkait
proses, hasil, dan tindak lanjut kredensialdan/atau
rekredensial tenaga kesehatan.</t>
  </si>
  <si>
    <t xml:space="preserve">1.3.2</t>
  </si>
  <si>
    <t xml:space="preserve">a) Ada penetapan uraian tugas yang berisi tugas pokok dan tugas tambahan untuk setiap pegawai (R).</t>
  </si>
  <si>
    <t xml:space="preserve">Ada SK Kepala Puskesmas ttg Uraian Tugas Pokok dan Tugas Tambahan setiap pegawai Puskesmas.</t>
  </si>
  <si>
    <t xml:space="preserve">b) Ditetapkan indikator penilaian kinerja pegawai (R).</t>
  </si>
  <si>
    <t xml:space="preserve">Ada SK Kepala Puskesmas ttg indikator penilaian kinerja pegawai  yang mengacu pada ; 1)uraian tugas yang menjadi tanggung  jawabnya, baik uraian tugas pokok maupun tugas tambahan; 2)tata nilai yang disepakati; 3)kode etik perilaku; 4)kompetensi pegawai.</t>
  </si>
  <si>
    <t xml:space="preserve">c) Dilakukan penilaian kinerja pegawai minimal setahun sekali dan tindak lanjutnya untuk upaya perbaikan sesuai dengan mekanisme yang telah ditetapkan (R, D, W).</t>
  </si>
  <si>
    <t xml:space="preserve">Ada hasil penilaian kinerja pegawai Puskesmas, yang mengacu pada Indikator PKP, ada laporan tahunan hasil peninilaian  kinerja Puskesmas, ada Bukti tindak lanjut terhadap hasil penilaian kinerja pegawai, ada hasil wawancara dengan KTU : tentang informasi terkait proses pelaksanaan, hasil dan tindak lanjut penilaian kinerja pegawai.</t>
  </si>
  <si>
    <t xml:space="preserve">d) Ditetapkan indikator dan mekanisme survei kepuasan pegawai terhadap penyelenggaraan KMP, UKM, UKP, laboratorium, dan kefarmasian serta kinerja pelayanan Puskesmas (R).</t>
  </si>
  <si>
    <t xml:space="preserve">Ada SK  Kepala Puskesmas ttg  Indikator kepuasan pegawai terhadap penyelenggaraan KMP, UKM, UKPP dan kinerja pelayanan Puskesmas, ada  SOP Survei kepuasan pegawai terhadap penyelenggaraan KMP, UKM, UKPP dan kinerja pelayanan Puskesmas.</t>
  </si>
  <si>
    <t xml:space="preserve">e) Dilakukan pengumpulan data, analisis dan upaya perbaikan dalam rangka meningkatkan kepuasan pegawai sesuai kerangka acuan (R, D, W).</t>
  </si>
  <si>
    <t xml:space="preserve">Ada KAK ttg survei kepuasan pegawai, ada jadwal pelaksanaan survei kepuasan pegawai, ada Instrumen survei kepuasan pegawai, ada Bukti pengumpulan data dan analisis hasil survei kepuasan pegawai, Bukti upaya perbaikan, ada hasil wawancara dengan KTU : tentang informasi terkait proses pengumpulan data, analisis hasil survei kepuasan pegawai, dan upaya perbaikannya.</t>
  </si>
  <si>
    <t xml:space="preserve">1.3.3</t>
  </si>
  <si>
    <t xml:space="preserve">a) Tersedia informasi mengenai peluang untuk meningkatkan kompetensi bagi semua tenaga yang ada di Puskesmas (D).</t>
  </si>
  <si>
    <t xml:space="preserve">Ada Bukti informasi peluang peningkatan kompetensi pegawai.</t>
  </si>
  <si>
    <t xml:space="preserve">b) Ada dukungan dari manajemen bagi semua tenaga yang ada di Puskesmas untuk memanfaatkan peluang tersebut (R, W).</t>
  </si>
  <si>
    <t xml:space="preserve">Ada bukti RUK yang mencantumkan kegiatan peningkatan kompetensi pegawai, ada hasil wawancara dengan KTU : tentang informasi terkait bentuk dukungan dalam peningkatan kompetensi
pegawai.</t>
  </si>
  <si>
    <t xml:space="preserve">c) Jika ada tenaga yang mengikuti peningkatan kompetensi, dilakukan evaluasi penerapan terhadap hasil peningkatan kompetensi tersebut di tempat kerja (R, D, W).</t>
  </si>
  <si>
    <t xml:space="preserve">Ada SOP tentang Penerapan Hasil Peningkatan
Kompetensi Pegawai, ada Bukti pelaksanaan kegiatan peningkatan kompetensi yang dilakukan oleh pegawai. Ada Hasil evaluasi terhadap hasil peningkatan kompetensi yang diikuti pegawai, ada hasil wawancara dengan KTU dan pegawai yang mengikuti peningkatan kompetensi: tentang penggalian informasi terkait proses dan hasil evaluasi terhadap hasil peningkatan kompetensi yang
diikuti pegawai.</t>
  </si>
  <si>
    <t xml:space="preserve">1.3.4</t>
  </si>
  <si>
    <t xml:space="preserve">a) Ditetapkan dan tersedia isi dokumen kepegawaian yang lengkap dan mutakhir untuk tiap pegawai yang bekerja di Pukesmas, serta terpelihara sesuai dengan prosedur yang telah ditetapkan (R, D, O, W).</t>
  </si>
  <si>
    <t xml:space="preserve">Ada SK tentang Kelengkapan Isi Dokumen Kepegawaian, ada SOP tentang Pengumpulan Dokumen Kepegawaian, ada Dokumen kepegawaian tiap pegawai. Catatan: dokumen kepegawaian dapat dalam bentuk cetak dan/atau digital, ada hasil observasi terhadap dokumen kepegawaian tiap pegawai serta kesesuaian kelengkapan dan kemutakhiran isinya, ada hasil wawancara dengan KTU : tentang penggalian informasi terkait proses pengumpulan dan pengelolaan dokumen kepegawaian.</t>
  </si>
  <si>
    <t xml:space="preserve">b) Dilakukan evaluasi dan tindak lanjut secara periodik terhadap kelengkapan dan pemutakhiran dokumen kepegawaian (D, W).</t>
  </si>
  <si>
    <t xml:space="preserve">Ada Bukti evaluasi terhadap kelengkapan dan pemutakhiran data kepegawaian, ada Bukti tindak lanjut terhadap hasil evaluasi kelengkapan dan pemutakhiran data kepegawaian, ada hasil wawancara dengan KTU : penggalian informasi terkait proses dan hasil evaluasi kelengkapan dan pemutakhiran data kepegawaian serta tindak lanjutnya.</t>
  </si>
  <si>
    <t xml:space="preserve">1.3.5</t>
  </si>
  <si>
    <t xml:space="preserve">a) Orientasi pegawai dilaksanakan sesuai kerangka acuan yang disusun (R, D, W).</t>
  </si>
  <si>
    <t xml:space="preserve">Ada KAK kegiatan orientasi, ada jadwal pelaksanaan, ada materi dan kegiatan orientasi, ada dokumen bukti pelaksanaan orientasi, ada hasil wawancara dengan KTU dan pegawai yang mengikuti orientasi tentang penggalian informasi terkait proses pelaksanaan kegiatan orientasi pegawai baru dan pegawai alih
tugas.</t>
  </si>
  <si>
    <t xml:space="preserve">b) Dilakukan evaluasi dan tindak lanjut terhadap pelaksanaan orientasi pegawai (D, W).</t>
  </si>
  <si>
    <t xml:space="preserve">Ada instrumen evaluasi hasil orientasi, ada bukti hasil evaluasi, ada tindak lanjut hasil evaluasi pelaksanaan orientasi, ada hasil wawancara dengan  dengan KTU dan pegawai yang mengikuti orientasi ttg penggalian informasi terkait hasil evaluasi pelaksanaan kegiatan orientasi pegawai baru dan pegawai alih tugas serta tindak lanjutnya.</t>
  </si>
  <si>
    <t xml:space="preserve">1.3.6</t>
  </si>
  <si>
    <t xml:space="preserve">a) Ditetapkan petugas yang bertanggung jawab terhadap program K3 dan program K3 Puskesmas serta dilakukan evaluasi terhadap pelaksanaan program K3 (R, D, W).</t>
  </si>
  <si>
    <t xml:space="preserve">Ada SK tentang penetapan koordinator atau tim K3 yang terintegrasi dengan SK Penanggung Jawab dan Koordinator Pelayanan pada Kriteria 1.2.1. ada SK tentang penetapan program K3 yang terintegrasi dengan SK Jenis Pelayanan pada Kriteria 1.1.1, ada bukti hasil wawancara dengan Koordinator atau Tim K3: tentang penggalian informasi terkait pelaksanaan program-program K3 dan hasil evaluasinya.</t>
  </si>
  <si>
    <t xml:space="preserve">b) Dilakukan pemeriksaan kesehatan secara berkala terhadap pegawai untuk menjaga kesehatan pegawai sesuai dengan program yang telah ditetapkan oleh kepala Puskesmas (R, D, W).</t>
  </si>
  <si>
    <t xml:space="preserve">Ada RUK dan RPK yang mencantumkan kegiatan pemeriksaan kesehatan berkala bagi pegawai, ada Bukti hasil pemeriksaan berkala kesehatan pegawai, ada hasil wawancara dengan Koordinator atau Tim K3: tentang penggalian informasi terkait proses pelaksanaan pemeriksaan berkala kesehatan pegawai.</t>
  </si>
  <si>
    <t xml:space="preserve">c) Ada program dan pelaksanaan imunisasi bagi pegawai sesuai dengan tingkat risiko dalam pelayanan (R, D, W).</t>
  </si>
  <si>
    <t xml:space="preserve">Ada RUK dan RPK yang mencantumkan kegiatan imunisasi bagi pegwai, ada Dokumen analisis tingkat risiko pelayanan, ada Bukti pelaksanaan imunisasi bagi pegawai, ada hasil wawancara dengan Koordinator atau Tim K3: tentang penggalian informasi terkait proses pelaksanaan imunisasi bagi pegawai.</t>
  </si>
  <si>
    <t xml:space="preserve">d) Apabila ada pegawai yang terpapar penyakit infeksi, kekerasan, atau cedera akibat kerja, dilakukan konseling dan tindak lanjutnya (D, W).</t>
  </si>
  <si>
    <t xml:space="preserve">Ada bukti pelaksanaan konseling terhadap  pegawai, ada Bukti tindak lanjut hasil konseling terhadap  pegawai. Ada hasil wawancara dengan Koordinator atau Tim K3: tentang penggalian informasi terkait proses pelaksanaan konseling bagi pegawai dan tindak lanjutnya.</t>
  </si>
  <si>
    <t xml:space="preserve">STANDAR 1.4  —  Manajemen Fasilitas dan Keselamatan</t>
  </si>
  <si>
    <t xml:space="preserve">1.4.1</t>
  </si>
  <si>
    <t xml:space="preserve">a) Terdapat petugas yang bertanggung jawab dalam MFK serta tersedia program MFK yang ditetapkan setiap tahun berdasarkan identifikasi risiko (R).</t>
  </si>
  <si>
    <t xml:space="preserve">Ada SK penetapan penanggung jawab MFK yang terintegrasi dengan SK penanggung jawab pada kriteria 1.2.1, ada SK penetapan program MFK yang terintegrasi dengan SK Jenis-Jenis Pelayanan pada
Kriteria 1.1.1 yaitu; program keamanan dan keselamatan, penanggulangan bencana, penanggulangan kebakaran, pengelolaan B3 dan limbah B3, pemeliharaan sistem utilitas, dan terintegrasi dengan program K3.</t>
  </si>
  <si>
    <t xml:space="preserve">b) Puskesmas menyediakan akses yang mudah dan aman bagi pengguna layanan dengan keterbatasan fisik (O, W).</t>
  </si>
  <si>
    <t xml:space="preserve">Ada Pengamatan surveior terhadap pengaturan ruang yang aman apakah mengakomodasi layanan yang dengan keterbatasan fisik seperti menyediakan hendrel pegangan tangan pada kamar mandi, jalur kursi roda dll, ada hasil wawancara dengan PJ mutu, koordinator MFK dan pasien: tenang penggalian informasi tentang akses layanan yang mudah dan aman bagi pengguna yang keterbatasan fisik.</t>
  </si>
  <si>
    <t xml:space="preserve">c) Dilakukan identifikasi terhadap area-area berisiko (D, W).</t>
  </si>
  <si>
    <t xml:space="preserve">Ada bukti identifikasi area berisiko yang meliputi; identifikasi area berisiko  keselamatan dan keamanan,  pengelolaan B3 dan limbah B3, manajemen kedaruratan, pengamanan kebakaran, Peralatan kesehatan, dan sistem utilitas, ada hasil wawancara dengan PJ mutu, koordinator MFK tentang penggalian informasi terkait dasar penetapan area beresiko pada keselamatan dan keamanan
fasilitas</t>
  </si>
  <si>
    <t xml:space="preserve">d) Disusun daftar risiko (risk register) yang mencakup seluruh lingkup program MFK (D).</t>
  </si>
  <si>
    <t xml:space="preserve">Ada Daftar risiko (riskregister) program MFK.
Catatan: terintegrasi dengan daftar risiko pada program manajemen risiko.</t>
  </si>
  <si>
    <t xml:space="preserve">e) Dilakukan evaluasi dan tindak lanjut per triwulan terhadap pelaksanaan program MFK (D).</t>
  </si>
  <si>
    <t xml:space="preserve">Ada dokumen evaluasi kegiatan MFK meliputi; keselamatan dan keamanan, pengelolaan B3 dan limbah B3, manajemen kedaruratan, pengamanan kebakaran, Peralatan kesehatan, sistem utilitas, dan ada RTL dan TL.</t>
  </si>
  <si>
    <t xml:space="preserve">1.4.2</t>
  </si>
  <si>
    <t xml:space="preserve">a) Dilakukan identifikasi terhadap pengunjung, petugas dan pekerja alih daya (outsourcing) (R, O, W).</t>
  </si>
  <si>
    <t xml:space="preserve">Ada SOP identifikasi pengunjung, petugas dan pekerja alih daya (outsourcing), ada bukti bukti pelaksanaan identifikasi pengunjung, dilakukan Pengamatan surveior terkait identifikasi kepada pengunjung, petugas dan pekerja alih daya sesuai dengan regulasi yang ditetapkan Puskesmas, ada hasil wawancara dengan Petugas, pengunjung dan pekerja alih daya: tentang penggalian informasi terkait pelaksanaan identifikasi pengunjung, petugas dan pekerja alih daya</t>
  </si>
  <si>
    <t xml:space="preserve">b) Dilakukan inspeksi fasilitas secara berkala yang meliputi bangunan, prasarana dan peralatan (R, D, O, W).</t>
  </si>
  <si>
    <t xml:space="preserve">Ada SOP tentang  Inspeksi fasilitas secara berkala, ada hasil observasi terkait hasil pemeliharaan fasilitas termasuk penyediaan mendukung keamanan dan fasilitas seperti penyediaan closed circuit television (CCTV), alarm, alat pemadam api ringan (APAR), jalur evakuasi, titik kumpul, rambu-rambu mengenai keselamatan dan tanda-tanda pintu darurat, ada hasil wawancara dengan Koordinator MFK tentang Penggalian informasi terkait pelaksanaan pemeliharaan fasilitas yang ada di Puskesmas</t>
  </si>
  <si>
    <t xml:space="preserve">c) Dilakukan simulasi terhadap kode darurat secara berkala (D, O, W, S).</t>
  </si>
  <si>
    <t xml:space="preserve">Ada simulasi terhadap kode darurat (kode merah dan kode biru) minimal melampirkan daftar hadir dan foto2 kegiatan simulasi. Catatan: khusus untuk
simulasi kode biru minimal berupa pemberian Bantuan Hidup Dasar (BHD).ada hasil wawancara dengan petugas  Puskesmas: tentang penggalian informasi terkait dengan pelaksanaan kode darurat yang di tetapkan oleh Puskesmas, ada permintaan bagi  petugas untuk melakukan simulasi kode darurat (kode merah dan kode biru) yang ditetapkan oleh Puskesmas.</t>
  </si>
  <si>
    <t xml:space="preserve">d) Dilakukan pemantauan terhadap pekerjaan konstruksi terkait keamanan dan pencegahan penyebaran infeksi (D, O, W).</t>
  </si>
  <si>
    <t xml:space="preserve">Ada bukti Dokumen ICRA bangunan (jika ada renovasi bangunan) yang dilakukan oleh Tim PPI bekerja sama dengan Tim MFK serta dengan multidisplin lainnya, ada hasil observasi surveior terhadap: Hasil pelaksanaan ICRA bangunan (jika ada renovasi bangunan), ada hasil wawancara dengan Koordinator PPI dan Koordinator MFK: tentang penggalian informasi terkait dengan penyusunan ICRA bangunan (jika dilakukan renovasi bangunan).</t>
  </si>
  <si>
    <t xml:space="preserve">1.4.3</t>
  </si>
  <si>
    <t xml:space="preserve">a) Dilakukan inventarisasi B3 dan limbah B3 (D).</t>
  </si>
  <si>
    <t xml:space="preserve">Ada daftar inventarisasi B3 dan limbah B3</t>
  </si>
  <si>
    <t xml:space="preserve">b) Dilaksanakan manajemen B3 dan limbah B3 (R, D, W).</t>
  </si>
  <si>
    <t xml:space="preserve">Ada SOP Pengelolaan Limbah B3 di Puskesmas Program manajemen B3 dan Limbah B3 yang terintegrasi dalam Program MFK,  ada bukti pengelolaan limbah B3 sesuai standar mencakup pemilahan, pewadahan dan penyimpanan/tempat penampungan sementara, transportasi serta pengolahan akhir. ada TPS, ada  MoU dengan pihak ketiga, ada hasil wawancara dengan Petugas yang bertanggung jawab terhadap pengelolaan B3 dan limbah B3: tentang penggalian informasi terkait proses pengelolaan B3 dan limbah B3</t>
  </si>
  <si>
    <t xml:space="preserve">c) Tersedia IPAL sesuai dengan ketentuan peraturan perundang-undangan (D, O, W).</t>
  </si>
  <si>
    <t xml:space="preserve">Ada IPAL yang masih berfungsi, ada Izin operasional  dari KLH, ada Pengamatan surveior terhadap penyediaan IPAL sesuai dengan surat izin.</t>
  </si>
  <si>
    <t xml:space="preserve">d) Apabila terdapat tumpahan dan/atau paparan/pajanan B3 dan/atau limbah B3, dilakukan penanganan awal, pelaporan, analisis, dan tindak lanjutnya (D, O, W).</t>
  </si>
  <si>
    <t xml:space="preserve">Ada bukti Bukti dilakukan penanganan awal oleh petugas. Bukti hasil pelaporan dan hasil analisis dari penanganan paparan/pajanan B3 atau limbah B3 sesuai dengan regulasi yang telah ditetapkan Puskesmas, ada Bukti tindak lanjut dari hasil pelaporan dan analisis, ada hasil observasi tentang ketersedian spill kit untuk penanganan tumpahan limbah B3, ada hasil wawancara dengan Petugas kebersihan/ cleaning service, koordinator PPI, petugas kesling dan petugas ditempat terjadinya tumpahan: tenang penggalian informasi terkait penanganan tumpahan B3</t>
  </si>
  <si>
    <t xml:space="preserve">1.4.4</t>
  </si>
  <si>
    <t xml:space="preserve">a) Dilakukan identifikasi risiko terjadinya bencana internal dan eksternal sesuai dengan letak geografis Puskesmas dan akibatnya terhadap pelayanan (D).</t>
  </si>
  <si>
    <t xml:space="preserve">Ada Hasil indentifikasi resiko bencana di Puskesmas/ Hazard Vulnerability Assessment (HVA).</t>
  </si>
  <si>
    <t xml:space="preserve">b) Dilaksanakan manajemen kedaruratan dan bencana (D, W).</t>
  </si>
  <si>
    <t xml:space="preserve">Ada Bukti pelaksanaan program manajemen kedaruratan dan bencana yang meliputi huruf (a) sampai dengan huruf (g) sesuai pada pokok pikiran angka 3) pada kriteria 1.4.1 yaitu : identifikasi jenis, kemungkinan, dan akibat dari bencana yang mungkin terjadi (HVA), menentukan peran Puskesmas  dalam kejadian bencana, strategi komunikasi jika terjadi bencana, manajemen sumber daya, penyediaan pelayanan dan alternatifnya, identifikasi peran dan tanggung jawab tiap pegawai serta manajemen konflik yang mungkin terjadi pada saat bencana, dan peran Puskesmas dalam tim terkoordinasi dengan sumber daya masyarakat yang tersedia.ada hasil wawancara dengan Petugas Puskesmas, pasien dan pengunjung ttg penggalian informasi terhadap penerapan manajemen kedaruratan dan bencana</t>
  </si>
  <si>
    <t xml:space="preserve">c) Dilakukan simulasi dan evaluasi tahunan terhadap manajemen kedaruratan dan bencana yang telah disusun, dan dilanjutkan dengan debriefing setiap selesai simulasi. (D, W).</t>
  </si>
  <si>
    <t xml:space="preserve">Ada Bukti pelaksanaan simulasi (minimal melampirkan daftar hadir dan foto kegiatan simulasidan laporan, ada Bukti hasil evaluasi tahunan, ada bukti Bukti pelaksanaan debriefing setiap selesai simulasi (minimal melampirkan daftar hadir, foto kegiatan dan laporan),  ada hasil wawancara dengan Petugas Puskesmas: ttg penggalian informasi kepada pelaksanaan simulasi, evaluasi dan debriefing setiap selesai</t>
  </si>
  <si>
    <t xml:space="preserve">d) Dilakukan perbaikan terhadap manajemen kedaruratan dan bencana sesuai hasil simulasi dan evaluasi tahunan. (D).</t>
  </si>
  <si>
    <t xml:space="preserve">Ada Bukti rencana perbaikan program manajemen kedaruratan dan bencana sesuai hasil simulasi, ada Bukti hasil evaluasi tahunan</t>
  </si>
  <si>
    <t xml:space="preserve">1.4.5</t>
  </si>
  <si>
    <t xml:space="preserve">a) Dilakukan manajemen pengamanan kebakaran (D, O, W).</t>
  </si>
  <si>
    <t xml:space="preserve">Ada Bukti pelaksanaan program manajemen pengamanan sesuai huruf (a) sampai dengan huruf (d) pada angka (4) sesuai pokok pikiran kriteria 1.4.1 yaitu : (a) frekuensi inspeksi, pengujian, dan pemeliharaan	sistem	proteksi dan penanggulangan kebakaran secara periodik sesuai peraturan yang berlaku, (b)jalur evakuasi yang aman dari api, asap dan bebas hambatan, (c)proses pengujian sistem proteksi dan penanggulangan kebakaran dilakukan selama kurun waktu 12 bulan, dan (d)	edukasi kepada staf terkait sistem proteksi dan cara evakuasi pengguna layanan yang efektif pada situasi kebakaran.</t>
  </si>
  <si>
    <t xml:space="preserve">b) Dilakukan inspeksi, pengujian dan pemeliharaan terhadap alat deteksi dini, alarm, jalur evakuasi, serta keberfungsian alat pemadam api (D, O).</t>
  </si>
  <si>
    <t xml:space="preserve">Ada bukti pelaksanaan dan hasil inspeksi/pengujian, ada pemeliharaan alat deteksi dini jalur evakuasi, serta keberfungsian alat pemadam api</t>
  </si>
  <si>
    <t xml:space="preserve">c) Dilakukan simulasi dan evaluasi tahunan terhadap manajemen pengamanan kebakaran (D, W, S).</t>
  </si>
  <si>
    <t xml:space="preserve">Ada Bukti pelaksanaan simulasi minimal menyertakan notula dan foto- foto kegiatan simulasi ada Bukti evaluasi tahunan terhadap program manajemen pengamanan kebakaran, ada hasil wawancara dengan Petugas Puskesmas yang melakukan simulasi pengamanan kebakaran</t>
  </si>
  <si>
    <t xml:space="preserve">d) Ditetapkan kebijakan larangan merokok bagi petugas, pengguna layanan, dan pengunjung di area Puskesmas (R, O, W).</t>
  </si>
  <si>
    <t xml:space="preserve">Ada SK Kepala Puskesmas ttg Larangan Merokok bagi bagi petugas, pengguna layanan, dan pengunjung di area Puskesmas,  ada bukti pelaksanaan kebijakan larangan merokok; ada sosialisasi, dan pemasangan media larangan merokok.</t>
  </si>
  <si>
    <t xml:space="preserve">1.4.6</t>
  </si>
  <si>
    <t xml:space="preserve">a) Dilakukan inventarisasi alat kesehatan sesuai dengan ASPAK (D).</t>
  </si>
  <si>
    <t xml:space="preserve">Ada Daftar Inventarisasi alat kesehatan, ada ASPAK, dan  bukti verifikasi dan validasi ASPAK.</t>
  </si>
  <si>
    <t xml:space="preserve">b) Dilakukan pemenuhan kompetensi bagi staf dalam mengoperasikan alat kesehatan tertentu (D, W).</t>
  </si>
  <si>
    <t xml:space="preserve">Ada bukti pemenuhan kompetensi staf dalam mengoperasikan alat kesehatan ertentu (contoh pengajuan pelatihan mengoperasionalkan alat ke dinas kesehatan)</t>
  </si>
  <si>
    <t xml:space="preserve">c) Dilakukan pemeliharaan dan kalibrasi terhadap alat kesehatan secara periodik (R, D, O, W).</t>
  </si>
  <si>
    <t xml:space="preserve">Ada SOP pemeliharaan alat kesehatan, ada Jadwal
pemeliharaan alat, ada Bukti pemeliharaan alat kesehatan, ada Bukti kalibrasi alat kesehatan
Catatan: Jika pelaksanaan kalibrasi dilakukan oleh Dinkes Kab/Kota, maka Puskesmas cukup menyerahkan surat permohonan pengajuan kalibrasi beserta notula pembahasan tentang kalibrasi (notula lokokarya bulanan dan/ atau pertemuan
tinjauan manajemen), ada hasil wawancara dengan Petugas yang bertanggung jawab terhadap pemeliharaan dan kalibrasi alat kesehatan: ttg
penggalian informasi terkait pemeliharaan dan kalibrasi alat kesehatan</t>
  </si>
  <si>
    <t xml:space="preserve">1.4.7</t>
  </si>
  <si>
    <t xml:space="preserve">a) Dilakukan inventarisasi sistem utilitas sesuai dengan ASPAK (D).</t>
  </si>
  <si>
    <t xml:space="preserve">Ada bukti inventarisasi sistem utilitas (lihat Program/KAK MFK), ada aplikasi ASPAK, dan ada dokumen pengelolaan sistem utilitas.</t>
  </si>
  <si>
    <t xml:space="preserve">b) Dilaksanakan manajemen sistem utilitas dan sistem penunjang lainnya (R, D).</t>
  </si>
  <si>
    <t xml:space="preserve">Ada SOP pelaksanaan manajemen sistem utilitas dan sistem penunjang lainnya. ada Program  MFK sistem utilitas Puskesmas meliputi : Identifikasi sumber air, listrik, gas medis dan sistem penunjang lainnya seperti genset, panel listrik, sanitasi dan perpipaan air dan lainnya, dan ada bukti pelaksanaan program sistem utilitas,</t>
  </si>
  <si>
    <t xml:space="preserve">c) Sumber air, listrik, dan gas medik beserta cadangannya tersedia
selama 7 hari 24 jam untuk pelayanan di Puskesmas (O).</t>
  </si>
  <si>
    <t xml:space="preserve">Ada bukti pemantauan ketersediaan air, listrik, gas medis 7 x 24 jam, ada bukti laporan jika terjadi gangguan ketersediaan dan tindak lanjutnya, ada MoU terhadap ketersediaan air, listrik, dan gas medis.</t>
  </si>
  <si>
    <t xml:space="preserve">1.4.8</t>
  </si>
  <si>
    <t xml:space="preserve">a) Ada rencana pendidikan manajemen fasilitas dan keselamatan bagi petugas (R).</t>
  </si>
  <si>
    <t xml:space="preserve">Ada Usulan peningkatan kompetensi tenaga Puskesmas terkait MFK yang teringrasi dengan Kriteria 1.3.3, ada hasil analisis kompetensi, ada kesejangan kompetensi sebagai dasar usulan peningkatan kompetensi</t>
  </si>
  <si>
    <t xml:space="preserve">b) Dilakukan pemenuhan pendidikan manajemen fasilitas dan keselamatan bagi petugas sesuai rencana (D, W).</t>
  </si>
  <si>
    <t xml:space="preserve">Ada Bukti pelaksanaan pemenuhan program pendidikan manajemen fasilitas dan keselamatan bagi petugas, ada hasil wawancara dengan Kepala Puskesmas, KTU, Petugas yang mendapatkan pendidikan manajemen fasilitas dan keselamatan: ttg
penggalian informasi terkait pemenuhan program pendidikan MFK bagi petugas.</t>
  </si>
  <si>
    <t xml:space="preserve">c) Dilakukan evaluasi dan tindak lanjut perbaikan pelaksanaan pemenuhan pendidikan manajemen fasilitas dan keselamatan bagi petugas (D, W).</t>
  </si>
  <si>
    <t xml:space="preserve">Ada bukti evaluasi program pendidikan manajemen fasilitas dan keselamatan bagi petugas Puskesmas, ada Bukti tindak lanjut perbaikan berdasarkan hasil evaluasi, ada hasil wawancara dengan Kepala Puskemas, KTU,  petugas yang mendapatkan pendidikan MFK: ttg Penggalian informasi terkait evaluasi dan tindaklanjut program pendidikan manajemen fasilitas dan keselamatan bagi petugas Puskesmas</t>
  </si>
  <si>
    <t xml:space="preserve">STANDAR 1.5  —  Manajemen Keuangan</t>
  </si>
  <si>
    <t xml:space="preserve">1.5.1</t>
  </si>
  <si>
    <t xml:space="preserve">a) Ditetapkan kebijakan dan prosedur manajemen keuangan dalam pelaksanaan pelayanan Puskesmas serta petugas pengelola keuangan Puskesmas dengan kejelasan tugas, tanggung jawab, dan wewenang (R).</t>
  </si>
  <si>
    <t xml:space="preserve">Ada SK Penetapan Pengelola Keuangan, ada SK Pengelolaan Keuangan. Ada  SOP Pengelolaan Keuangan.</t>
  </si>
  <si>
    <t xml:space="preserve">b) Dilaksanakan pengelolaan keuangan sesuai dengan kebijakan dan prosedur manajemen keuangan yang telah ditetapkan (D, O, W).</t>
  </si>
  <si>
    <t xml:space="preserve">Ada Laporan keuangan bulanan/ triwulanan/ semesteran/ tahunan, ada kesesuaian pengelolaan keuangan yang dilaksanakan oleh pengelola keuangan dengan SK dan SOP, ada hasil wawancara dengan Pengelola Keuangan dan Kapus : ttg penggalian informasi terkait proses pengelolaan keuangan.</t>
  </si>
  <si>
    <t xml:space="preserve">STANDAR 1.6  —  Pengawasan, Pengendalian, dan Penilaian Kinerja</t>
  </si>
  <si>
    <t xml:space="preserve">1.6.1</t>
  </si>
  <si>
    <t xml:space="preserve">a) Ditetapkan indikator kinerja Puskesmas sesuai dengan jenis-jenis pelayanan yang disediakan dan kebijakan pemerintah pusat dan daerah (R).</t>
  </si>
  <si>
    <t xml:space="preserve">Ada SK indikator kinerja Puskesmas sesuai dengan jenis-jenis pelayanan yang disediakan dan kebijakan pemerintah pusat dan daerah, ada indikator kinerja manajemen, ada indikator kinerja UKM dan indikator PPN, dan ada indikator UKP.</t>
  </si>
  <si>
    <t xml:space="preserve">b) Dilakukan pengawasan, pengendalian, dan penilaian terhadap kinerja Puskesmas secara periodik sesuai dengan kebijakan dan prosedur yang ditetapkan, dan hasilnya diumpanbalikkan kepada lintas program dan lintas sektor (R, D, W).</t>
  </si>
  <si>
    <t xml:space="preserve">Ada SK tentang pengawasan, pengendalian dan penilaian kinerja, ada SOP Pemantauan dan evaluasi, ada SOP Supervisi, ada SOP Lokakarya mini, ada SOP Audit internal, dan ada SOP Pertemuan tinjauan manajemen, ada Bukti pelaksanaan pengawasan, pengendalian, dan penilaian kinerja secara periodik sesuai dengan regulasi yang ditetapkan, antara lain :
a)Bukti pelaksanaan pemantauan dan evaluasi,         b)Bukti pelaksanaan supervisi, c)Bukti pelaksanaan lokakarya mini, d)Bukti audit internal, e)Bukti
pertemuan tinjauan manajemen. ada hasil wawancara dengan Kepala Puskesmas, KTU, PJ Pelayanan, PJ Mutu: ttg penggalian informasi terkait pelaksanaan pengawasan, pengendalian, dan penilaian kinerja secara periodik</t>
  </si>
  <si>
    <t xml:space="preserve">c) Dilakukan evaluasi dan tindak lanjut terhadap hasil pengawasan, pengendalian, dan penilaian kinerja terhadap target yang ditetapkan dan hasil kaji banding dengan Puskesmas lain (D, W).</t>
  </si>
  <si>
    <t xml:space="preserve">Ada Bukti hasil evaluasi, ada Bukti tindak lanjut terkait hasil pengawasan, pengendalian, dan penilaian kinerja secara periodik, ada Bukti hasil kaji banding dan tindaklanjut yang dilakukan, ada rencana stratgeis PDCA/PDSA</t>
  </si>
  <si>
    <t xml:space="preserve">d) Dilakukan analisis terhadap hasil pengawasan, pengendalian, dan penilaian kinerja untuk digunakan dalam perencanaan kegiatan masing-masing upaya Puskesmas, dan untuk perencanaan Puskesmas (D, W).</t>
  </si>
  <si>
    <t xml:space="preserve">Ada bukti Bukti  hasil analisis terkait hasil pengawasan, pengendalian, dan penilaian kinerja secara periodik untuk digunakan dalam perencanaan masing-masing pelayanan dan perencanaan Puskesmas. Ada hasil wawancara dengan Kepala Puskesmas, KTU, PJ Pelayanan, PJ Mutu dan tim manajemen Puskesmas: ttg  penggalian informasi tentang pelaksanaan analisis kegiatan pengawasan, pengendalian dan penilaian kinerja untuk perencanaan kegiatan masing- masing pelayanan dan perencanaan Puskesmas berikutnya</t>
  </si>
  <si>
    <t xml:space="preserve">e) Hasil pengawasan dan pengendalian dalam bentuk perbaikan kinerja disediakan dan digunakan sebagai dasar untuk memperbaiki kinerja pelaksanaan kegiatan Puskesmas dan revisi rencana pelaksanaan kegiatan bulanan (D, W).</t>
  </si>
  <si>
    <t xml:space="preserve">Ada bukti  perbaikan kinerja dari hasil pengawasan dan pengendalian yang dituangkan ke dalam RPK,
ada Bukti revisi perencanaan kegiatan bulanan (revisi RPK bulanan), ada hasil wawancara dengan Kepala Puskesmas, KTU, PJ Pelayanan, PJ Mutu dan tim manajemen Puskesmas: ttg penggalian informasi terkait dengan dasar perbaikan kinerja pelaksanaan kegiatan dan revisi</t>
  </si>
  <si>
    <t xml:space="preserve">f) Hasil pengawasan, pengendalian, dan penilaian kinerja dibuat dalam bentuk laporan penilaian kinerja Puskesmas (PKP), serta upaya perbaikan kinerja dilaporkan kepada dinas kesehatan daerah kabupaten/kota (D).</t>
  </si>
  <si>
    <t xml:space="preserve">Ada Laporan penilaian kinerja  Puskesmas (PKP) ke Dinas Kesehatan Kab/Kota,ada umpan balik dan penetapan strata Puskesmas dari  Dinas Kesehatan Kabupaten/Kota yang mengacu pada PMK 44 Tahun 2016</t>
  </si>
  <si>
    <t xml:space="preserve">1.6.2</t>
  </si>
  <si>
    <t xml:space="preserve">a) Dilakukan lokakarya mini bulanan dan triwulanan secara konsisten dan periodik untuk mengomunikasikan, mengoordinasikan, dan mengintegrasikan upaya-upaya Puskesmas (D, W).</t>
  </si>
  <si>
    <t xml:space="preserve">Ada Jadwal Lokmin bulanan dan triwulanan, ada 
Notula Lokmin bulanan dan triwulanan yang disertai foto kegiatan, ada Undangan Lokmin bulanan dan triwulanan, ada Daftar Hadir Lokmin bulanan dan triwulanan, ada hasil wawancara dengan  Kepala Puskesmas, KTU dan penanggung jawab Upaya Puskesmas: ttg penggalian informasi tentang pelaksanaan Lokmin secara priodik</t>
  </si>
  <si>
    <t xml:space="preserve">b) Dilakukan pembahasan permasalahan dan hambatan dalam pelaksanaan kegiatan, serta rekomendasi tindak lanjut dalam lokakarya mini bulanan dan triwulanan (D, W).</t>
  </si>
  <si>
    <t xml:space="preserve">Ada bukti Notula lokmin yang berisi pembahasan permasalahan, hambatan dalam pelaksanaan
kegiatan, dan rekomendasi tindak lanjut, ada hasil wawancara dengan Kepala Puskesmas, KTU dan penanggung jawab Upaya Puskesmas: ttg informasi tentang pembahasan permasalahan dan hambatan pelaksanaan kegiatan</t>
  </si>
  <si>
    <t xml:space="preserve">c) Dilakukan tindak lanjut terhadap rekomendasi lokakarya mini bulanan dan triwulanan dalam bentuk perbaikan pelaksanaan kegiatan (D, W).</t>
  </si>
  <si>
    <t xml:space="preserve">Ada bukti tindak lanjut perbaikan pelaksana kegiatan berdasarkan rekomendasi hasil lokmin bulanan dan triwulanan, ada strategi tindak lanjut bisa berupa PDCA/PDSA, ada hasil wawancara dengan Kepala Puskesmas, KTU dan penanggung jawab Upaya Puskesmas: ttg penggalian informasi tentang tindak lanjut hasil rekomendasi lokmin</t>
  </si>
  <si>
    <t xml:space="preserve">1.6.3</t>
  </si>
  <si>
    <t xml:space="preserve">a) Kepala Puskesmas membentuk tim audit internal dengan uraian tugas, wewenang, dan tanggung jawab yang jelas (R).</t>
  </si>
  <si>
    <t xml:space="preserve">Ada SK tim audit Internal beserta uraian tugas dan tanggung jawab yang dapat terintegrasi dengan SK penanggungjawab upaya pelayanan di Puskesmas pada kriteria 1.2.1</t>
  </si>
  <si>
    <t xml:space="preserve">b) Disusun rencana program audit internal tahunan yang dilengkapi kerangka acuan dan dilakukan kegiatan audit internal sesuai dengan rencana yang telah disusun (R, D, W).</t>
  </si>
  <si>
    <t xml:space="preserve">Ada KAK audit internal, ada Rencana audit internal (audit plan), ada Bukti pelaksanaan audit internal,
ada Instrumen audit internal
Catatan: Penyusunan rencana audit sampai dengan pelaksanaan audit, dilakukan secara priodik, ada hasil wawancara dengan PJ Mutu, Koordinator Audit Internal dan auditor internal: ttg penggalian informasi tentang pelaksanaan audit internal</t>
  </si>
  <si>
    <t xml:space="preserve">c) Ada laporan dan umpan balik hasil audit internal kepada kepala Puskesmas, tim mutu, pihak yang diaudit dan unit terkait (D, W).</t>
  </si>
  <si>
    <t xml:space="preserve">Ada Laporan hasil audit internal, ada Bukti umpan balik hasil audit internal kepada Kepala Puskesmas, tim mutu Puskesmas, pihak yang diaudit dan unit terkait, ada hasil wawancara dengan PJ Mutu, Koordinator Audit Internal dan auditor internal: ttg
penggalian informasi tentang laporan dan umpan balik hasil audit internal</t>
  </si>
  <si>
    <t xml:space="preserve">d) Tindak lanjut dilakukan terhadap temuan dan rekomendasi dari hasil audit internal, baik oleh kepala Puskesmas, penanggung jawab maupun pelaksana (D, W).</t>
  </si>
  <si>
    <t xml:space="preserve">Ada bukti pelaksanaan tindak lanjut dan rekomendasi hasil audit internal,  ada hasil wawancara dengan PJ.Mutu dan Koordinator Audit Internal, auditor internal dan pihak yang diaudit: ttg  penggalian informasi tentang tindaklanjut hasil audit</t>
  </si>
  <si>
    <t xml:space="preserve">e) Kepala Puskesmas bersama dengan tim mutu merencanakan pertemuan tinjauan manajemen dan pertemuan tinjauan manajemen tersebut dilakukan dengan agenda sebagaimana tercantum dalam pokok pikiran (D, W).</t>
  </si>
  <si>
    <t xml:space="preserve">Ada Jadwal pertemuan tinjauan manajemen, ada Undangan pertemuan tinjauan manajemen, ada
Notula hasil pertemuan tinjauan manajemen yang
disertai dengan foto kegiatan, dan ada Daftar hadir peserta pertemuan tinjauan manajemen, ada hasil wawancara dengan Kepala Puskesmas, PJ Mutu, tim mutu Puskesmas, dan petugas Puskesmas: ttg 
penggalian informasi tentang pelaksanaan pertemuan
tinjauan</t>
  </si>
  <si>
    <t xml:space="preserve">f) Rekomendasi hasil pertemuan tinjauan manajemen ditindaklanjuti dan dievaluasi (D, W).</t>
  </si>
  <si>
    <t xml:space="preserve">Ada bukti Bukti pelaksanaan tindak lanjut rekomendasi hasil pertemuan tinjauan manajemen, ada rencana strategis PDCA/PDSA, ada hasil wawancara dengan Kepala Puskesmas, PJ Mutu, tim mutu Puskesmas, dan petugas Puskesmas: ttg penggalian informasi tentang tindaklanjut rekomendasi pertemuan tinjauan manajemen</t>
  </si>
  <si>
    <t xml:space="preserve">STANDAR 1.7  —  Pembinaan Puskesmas oleh Dinas Kesehatan Daerah Kabupaten/Kota</t>
  </si>
  <si>
    <t xml:space="preserve">1.7.1</t>
  </si>
  <si>
    <t xml:space="preserve">a) Terdapat penetapan organisasi Puskesmas sesuai dengan ketentuan peraturan perundang-undangan (R).</t>
  </si>
  <si>
    <t xml:space="preserve">Ada SKKepala Dinas Kesehatan tentang organisasi Puskesmas yang dilengkapi dengan kejelasan tugas, wewenang, dan tanggung jawab serta tata hubungan kerja dan persyaratan jabatan yang mengacu pada PMK 43 Thn 2019</t>
  </si>
  <si>
    <t xml:space="preserve">b) Dinas kesehatan daerah kabupaten/kota menetapkan kebijakan dan jadwal pembinaan terpadu Puskesmas secara periodik (R, D, W).</t>
  </si>
  <si>
    <t xml:space="preserve">Ada SK TPCB beserta uraian tugas tim TPCB, ada Jadwal program pembinaan TPCB, ada hasil wawancara dengan TPCB dinas kesehatan Kab/Kota: tentang penggalian informasi tentang TPCB dan jadwal pembinaan</t>
  </si>
  <si>
    <t xml:space="preserve">c) Ada bukti bahwa dinas kesehatan daerah kabupaten/ kota melaksanakan pembinaan secara terpadu melalui TPCB sesuai ketentuan, kepada Puskesmas secara periodik, termasuk jika terdapat pembinaan teknis sesuai dengan pedoman (D, W).</t>
  </si>
  <si>
    <t xml:space="preserve">Ada Hasil Self Assesment (SA) Puskesmas, ada 
Hasil analisis berdasarkan SA Puskesmas sebagai bahan pembinaan, ada Surat Tugas TPCB, ada Dokumen pelaporan hasil pembinaan TPCB, termasuk laporan pembinaan teknis bila anggota TPCB ada yang melakukan pembinaan teknis, ada hasil wawancara dengan TPCB dinas kesehatan Kab/Kota: ttg penggalian informasi tentang pelaksanaan pembinaan oleh TPCB</t>
  </si>
  <si>
    <t xml:space="preserve">d) Ada bukti bahwa TPCB menyampaikan hasil pembinaan, termasuk jika ada hasil pembinaan teknis oleh masing-masing bagian di dinas kesehatan, kepada kepala dinas kesehatan daerah kabupaten/kota dan memberikan umpan balik kepada Puskesmas (D, W).</t>
  </si>
  <si>
    <t xml:space="preserve">Ada Bukti penyampaian laporan hasil pembinaan oleh TPCB kepada Kepala Dinas Kesehatan Kab/Kota, termasuk laporan oleh tim teknis jika ada pembinaan teknis berdasarkan hasil pembinaan TPCB. ada Bukti umpan balik Puskesmas yang disampaikan
secara resmi, ada hasil wawancara dengan  Tim TPCB dinas kesehatan Kab/Kota: ttg penggalian informasi tentang laporan pembinaan oleh TPCB kepada Kepala Dinas Kesehatan Kab/Kota, termasuk jika ada pembinaan teknis serta umpan balik hasil pembinaan kepada Puskesmas.</t>
  </si>
  <si>
    <t xml:space="preserve">e) Ada bukti bahwa TPCB melakukan pendampingan penyusunan rencana usulan kegiatan dan rencana pelaksanaan kegiatan Puskesmas, yang mengacu pada rencana lima tahunan Puskesmas (R, D, W).</t>
  </si>
  <si>
    <t xml:space="preserve">Ada  RUK Puskesmas yang mengacu pada rencana lima tahunan Puskesmas, ada  RPK Puskesmas, ada Bukti hasil pendampingan penyusunan rencana usulan kegiatan Puskesmas dan rencana pelaksanaan kegiatan minimal melampirkan, ada Surat tugas TPCB untuk pendampingan penyusunan RUK, RPK Puskesmas, ada Notula, ada Daftar hadir, dan ada foto kegiatan, ada hasil wawancara penggalian informasi tentang pendampingan penyusunan RUK dan RPK Puskesmas</t>
  </si>
  <si>
    <t xml:space="preserve">f) Ada bukti bahwa TPCB menindaklanjuti hasil pelaksanaan lokakarya mini dan pertemuan tinjauan manajemen Puskesmas yang menjadi kewenangannya dalam rangka membantu menyelesaikan masalah kesehatan yang tidak bisa diselesaikan di tingkat Puskesmas (D, W).</t>
  </si>
  <si>
    <t xml:space="preserve">Ada bukti pelaksanaan tindaklanjut hasil lokmin dan pertemuan tinjauan manajemen Puskesmas oleh TPCB yang disampaikan secara resmi, ada hasil wawancara penggalian informasi tentang tindaklanjut yang dilakukan oleh TPCB berdasarkan hasil lokmin dan pertemuan tinjauan manajemen Puskesmas</t>
  </si>
  <si>
    <t xml:space="preserve">g) Ada bukti TPCB melakukan verifikasi dan memberikan umpan balik hasil pemantauan dan evaluasi penyelenggaraan pelayanan di Puskesmas secara berkala (D, W).</t>
  </si>
  <si>
    <t xml:space="preserve">Ada bukti verifikasi evaluasi kinerja Puskesmas, ada 
Bukti  umpan balik pemantauan dan evaluasi kinerja Puskesmas, ada hasil wawancara ttg  penggalian informasi tentang pelaksanaan verifikasi dan umpan balik evaluasi kinerja Puskesmas</t>
  </si>
  <si>
    <t xml:space="preserve">h) Puskesmas menerima dan menindaklanjuti umpan balik hasil pembinaan dan evaluasi kinerja oleh TPCB (D, W)</t>
  </si>
  <si>
    <t xml:space="preserve">Ada bukti Puskesmas menerima dan menindaklanjuti hasil umpan balik hasil pembinaan, ada Bukti Puskesmas menerima dan menindaklanjuti hasil umpan balik hasil evaluasi kinerja, ada hasil wwancara ttg informasi tentang pelaksanaan tindaklanjut hasil pembinaan dan evaluasi kinerja yang disampaikan oleh TPCB dinas kesehatan kab/kota.</t>
  </si>
  <si>
    <t xml:space="preserve">RINGKASAN CAPAIAN BAB I</t>
  </si>
  <si>
    <t xml:space="preserve">Jumlah EP</t>
  </si>
  <si>
    <t xml:space="preserve">Perencanaan dan Kemudahan Akses bagi Pengguna Layanan</t>
  </si>
  <si>
    <t xml:space="preserve">Tata Kelola Organisasi</t>
  </si>
  <si>
    <t xml:space="preserve">Manajemen Sumber Daya Manusia</t>
  </si>
  <si>
    <t xml:space="preserve">Manajemen Fasilitas dan Keselamatan</t>
  </si>
  <si>
    <t xml:space="preserve">Manajemen Keuangan</t>
  </si>
  <si>
    <t xml:space="preserve">Pengawasan, Pengendalian, dan Penilaian Kinerja</t>
  </si>
  <si>
    <t xml:space="preserve">Pembinaan Puskesmas oleh Dinas Kesehatan Daerah Kabupaten/Kota</t>
  </si>
  <si>
    <t xml:space="preserve">TOTAL BAB I</t>
  </si>
  <si>
    <t xml:space="preserve">BAB II. PENYELENGGARAAN UKM YANG BERORIENTASI PADA UPAYA PROMOTIF &amp; PREVENTIF — KONTEN RESMI LENGKAP</t>
  </si>
  <si>
    <t xml:space="preserve">STANDAR 2.1  —  Perencanaan Terpadu Pelayanan UKM</t>
  </si>
  <si>
    <t xml:space="preserve">2.1.1</t>
  </si>
  <si>
    <t xml:space="preserve">a) Dilakukan identifikasi kebutuhan dan harapan masyarakat, kelompok masyarakat, keluarga dan individu yang merupakan sasaran pelayanan UKM sesuai dengan kebijakan dan prosedur yang telah ditetapkan (R, D, W).</t>
  </si>
  <si>
    <t xml:space="preserve">Ada SK tentang identifikasi kebutuhan dan harapan masyarakat, kelompok masyarakat, keluarga dan individu yang merupakan sasaran pelayanan UKM, ada SOP identifikasi kebutuhan dan harapan masyarakat, kelompok masyarakat, keluarga dan individu yang merupakan sasaran pelayanan UKM, ada bukti dokumen pelaksanaan SMD dan MMD, PIS-PK, ada undangan, daftar hadir, notulen dan gambar hasil pertemuan atau jejak pendapat dengan tokoh masyarakat, ada hasil wawancara dengan Kepala Puskesmas, PJ UKM, Koordinator Pelayanan UKM dan pelaksana pelayanan UKM: ttg Penggalian informasi terkait identifikasi kebutuhan dan harapan masyarakat, kelompok masyarakat, keluarga dan individu yang merupakan sasaran pelayanan UKM</t>
  </si>
  <si>
    <t xml:space="preserve">b) Hasil identifikasi kebutuhan dan harapan masyarakat dianalisis bersama dengan lintas program dan lintas sektor sebagai bahan untuk pembahasan dalam menyusun rencana kegiatan UKM (D, W).</t>
  </si>
  <si>
    <t xml:space="preserve">Ada format analisis hasil identifikasi, ada format Rencana kegiatan berdasarkan hasil analisis, ada Bukti dilakukan analisis bersama lintas program &amp; lintas sektor, minimal melampirkan: adaUndangan, Daftar hadir, notula yang diserta dengan foto kegiatan, ada hasil wawancara ttg Penggalian informasi terkait proses analisis yang sudah dilakukan terhadap hasil identifikasi kebutuhan dan harapan masyarakat yang sudah diperoleh</t>
  </si>
  <si>
    <t xml:space="preserve">c) Data capaian kinerja pelayanan UKM Puskesmas dianalisis bersama lintas program dan lintas sektor dengan memperhatikan hasil pelaksanaan PIS PK sebagai bahan untuk pembahasan dalam menyusun rencana kegiatan yang berbasis wilayah kerja (R, D, W).</t>
  </si>
  <si>
    <t xml:space="preserve">Ada SK Indikator Kinerja pelayanan UKM yang merupakan bagian dari SK Indikator Kinerja Puskesmas (lihat kriteria 1.6.1), ada Capaian kinerja pelayanan UKM yang sudah dilengkapi dengan analisis, dengan memperhatikan hasil PIS PK. Pelaksanaan analisis agar mengacu pada pedoman manajemen Puskesmas, ada Rencana kegiatan berdasarkan hasil analisis, ada Bukti keterlibatan
lintas program &amp; lintas sektor, minimal melampirkan:
Undangan, Daftar hadir, Notula yang diserta dengan foto kegiatan.</t>
  </si>
  <si>
    <t xml:space="preserve">d) Tersedia rencana usulan kegiatan (RUK) UKM yang disusun secara terpadu dan berbasis wilayah kerja Puskesmas berdasarkan hasil analisis kebutuhan dan harapan masyarakat, hasil pembahasan analisis data capaian kinerja pelayanan UKM dengan memperhatikan hasil pelaksanaan kegiatan PIS PK (D,W)</t>
  </si>
  <si>
    <t xml:space="preserve">Ada RUK yang menunjukkan hasil rumusan dari EP b dan EP c, ada bukti  RUK UKM  terintegrasi dalam RUK Puskesmas , ada bukti pertemuan Lokmin lintas sektor pertama, ada undangn, daftar hadir, notulen, dokumentasi, ada hasil wawancara ttg penggalian  informasi terkait hasil RUK yang disusun</t>
  </si>
  <si>
    <t xml:space="preserve">2.1.2</t>
  </si>
  <si>
    <t xml:space="preserve">a) Terdapat kegiatan fasilitasi Pemberdayaan Masyarakat yang dituangkan dalam RUK dan RPK Puskesmas termasuk kegiatan Pemberdayaan Masyarakat bersumber dari swadaya masyarakat dan sudah disepakati bersama masyarakat sesuai dengan kebijakan dan prosedur yang telah ditetapkan (R, D, W).</t>
  </si>
  <si>
    <t xml:space="preserve">Ada SK Kepala Puskesmas tentang fasilitasi pemberdayaan masyarakat, ada SOP tentang fasilitasi pemberdayaan masyarakat dalam kegiatan Puskesmas, ada KAK Kegiatan Fasilitasi Pemberdayaan Masyarakat, ada RUK &amp; RPK, yang mengakomodir kegiatan fasilitasi pemberdayaan masyarakat, ada Bukti kesepakatan kegiatan pada bersama dengan masyarakat, ada hasil wawancara tentang Penggalian informasi terkait isi	RUK &amp;RPK yang	memuat kegiatan	fasilitasi pemberdayaan masyarakat bersumber dari swadaya masyarakat.</t>
  </si>
  <si>
    <t xml:space="preserve">b) Terdapat bukti keterlibatan masyarakat dalam kegiatan Pemberdayaan Masyarakat mulai dari perencanaan, pelaksanaan, perbaikan, dan evaluasi untuk mengatasi masalah kesehatan di wilayahnya (D, W).</t>
  </si>
  <si>
    <t xml:space="preserve">Ada 1) Bukti pelaksanaan keterlibatan masyarakat,
2) RPK yang memuat kegiatan pemberdayaan masyarakat, 3) Bukti keterlibatan masyarakat dalam kegiatan pemberdayaan sesuai angka 1 mulai dari perencanaan, pelaksanaan, perbaikan dan evaluasi, ada hasil wawancara tentang Penggalian informasi terkait keterlibatan masyarakat dalam kegiatan pemberdayaan masyarakat mulai dari perencanaan, pelaksanaan, perbaikkan dan evaluasi.</t>
  </si>
  <si>
    <t xml:space="preserve">c) Dilakukan evaluasi dan tindak lanjut terhadap kegiatan Pemberdayaan Masyarakat (D, W).</t>
  </si>
  <si>
    <t xml:space="preserve">Ada Bukti hasil evaluasi kegiatan pemberdayaan masyarakat. Untuk mengevaluasi dapat dilakukan dengan melihat KAK Pemberdayaan Masyarakat dan disandingkan dengan hasil kegiatan, ada Bukti hasil tindaklanjut dari pelaksanaan evaluasi, ada hasil wawancara tentang penggalian informasi terkait keterlibatan masyarakat dalam pelaksanaan evaluasi dan tindaklanjut kegiatan pemberdayaan masyarakat.</t>
  </si>
  <si>
    <t xml:space="preserve">2.1.3</t>
  </si>
  <si>
    <t xml:space="preserve">a) Tersedia rencana pelaksanaan kegiatan (RPK) tahunan UKM yang terintegrasi dalam rencana pelaksanaan kegiatan (RPK) tahunan Puskesmas sesuai dengan ketentuan yang berlaku (R).</t>
  </si>
  <si>
    <t xml:space="preserve">Ada   RPK UKM yang terintegrasi dalam RPK Puskesmas, ada bukti proses penyusunan RPK, undangan, daftar hadir, notulen, dokumentasi</t>
  </si>
  <si>
    <t xml:space="preserve">b) Tersedia RPK bulanan (RPKB) untuk masing-masing pelayanan UKM yang disusun setiap bulan (R).</t>
  </si>
  <si>
    <t xml:space="preserve">Ada RPK bulanan setiap kegiatan UKM (form. Sesuai PMK 44 Tahun 2016), ada bukti proses penyusunan RPK, undangan, daftar hadir, notulen, dokumentasi</t>
  </si>
  <si>
    <t xml:space="preserve">c) Tersedia kerangka acuan kegiatan (KAK) untuk tiap kegiatan dari masing-masing pelayanan UKM sesuai dengan RPK yang disusun (R).</t>
  </si>
  <si>
    <t xml:space="preserve">Ada KAK setiap kegiatan UKM Puskesmas sesuai dengan kegiatan dalam RPK UKM bulanan</t>
  </si>
  <si>
    <t xml:space="preserve">d) Jika terjadi perubahan rencana pelaksanaan pelayanan UKM berdasarkan hasil pemantauan, kebijakan atau kondisi tertentu, dilakukan penyesuaian RPK (D, W).</t>
  </si>
  <si>
    <t xml:space="preserve">Ada RPK Perubahan jika ada perubahan yang disertai dengan dasar dilakukan perubahan, ada hasil waancara tentang Penggalian informasi terkait proses penyusunan perubahan RPK.</t>
  </si>
  <si>
    <t xml:space="preserve">STANDAR 2.2  —  Kemudahan Akses Sasaran dan Masyarakat terhadap Pelayanan UKM</t>
  </si>
  <si>
    <t xml:space="preserve">2.2.1</t>
  </si>
  <si>
    <t xml:space="preserve">a) Tersedia jadwal serta informasi pelaksanaan kegiatan UKM yang disusun berdasarkan hasil kesepakatan dengan sasaran, masyarakat, kelompok masyarakat, lintas program dan lintas sektor terkait (D, W).</t>
  </si>
  <si>
    <t xml:space="preserve">Ada Bukti ketersediaan jadwal dan informasi pelayanan UKM Puskesmas, ada Bukti kesepakatan jadwal bersama sasaran, masyarakat, kelompok masyarakat, lintas program dan lintas sektor. ada  undangan, daftar hadir, notulen dan dokumentasi, ada hasil wawancara tentang Penggalian informasi terkait penyusunan jadwal kegiatan UKM.</t>
  </si>
  <si>
    <t xml:space="preserve">b) Jadwal pelaksanaan kegiatan UKM diinformasikan kepada sasaran, masyarakat, kelompok masyarakat, lintas program, dan lintas sektor melalui media komunikasi yang sudah ditetapkan (D, W).</t>
  </si>
  <si>
    <t xml:space="preserve">Ada Jadwal pelaksanaan kegiatan UKM, ada bukti penyampaian jadwal kepada LP/LS, klp.masrakat dan masyarakat sasaran, ada jadwal yang terpasang di Puskesmas, ada bukti umpan balik penerimaan jadwal kegiatan UKM</t>
  </si>
  <si>
    <t xml:space="preserve">c) Tersedia bukti penyampaian informasi perubahan jadwal bilamana terjadi perubahan jadwal pelaksanaan kegiatan (D, W).</t>
  </si>
  <si>
    <t xml:space="preserve">Ada dokumen bukti perubahan jadwal kegiatan UKM yang disampaikan kepada pihak terkait, ada papan informasi, ada surat pemberitahuan, ada WA Group.</t>
  </si>
  <si>
    <t xml:space="preserve">2.2.2</t>
  </si>
  <si>
    <t xml:space="preserve">a) Dilakukan identifikasi terhadap umpan balik yang diperoleh dari masyarakat, kelompok masyarakat dan sasaran. (D,W)</t>
  </si>
  <si>
    <t xml:space="preserve">Ada registrasi dan identifikasi umpan balik baik yang disampaikan secara langsung oleh masyarakat melalui pertemuan kelompok, maupun umpan balik melalui kotak saran, kotak kepuasan, email, dan WA group, ada hasil wawancara tentang Penggalian informasi terkait identifikasi umpan balik yang dilakukan Puskesmas.</t>
  </si>
  <si>
    <t xml:space="preserve">b) Hasil identifikasi umpan balik dianalisis dan disusun rencana tindaklanjut untuk pengembangan dan perbaikan pelayanan. (D,W)</t>
  </si>
  <si>
    <t xml:space="preserve">Ada Bukti hasil analisis berdasarkan identifikasi umpan balik, ada Bukti rencana tindaklanjut dari hasil analisis. Catatan: Pemenuhan EP 'a" dan EP 'b" dapat dituliskan di dalam 1 form yang sama (tidak harus dibuatkan terpisah), ada hasil wawancara tenang Penggalian informasi terkait: Identifikasi,  analisis s.d penyusunan Rencana tindaklanjut yang akan dilakukan dan Hasil evaluasi terhadap pelaksanaan rencana tindaklanjut.</t>
  </si>
  <si>
    <t xml:space="preserve">c) Umpan balik dan keluhan dari masyarakat, kelompok masyarakat, dan sasaran ditindaklanjuti dan dievaluasi (D, W).</t>
  </si>
  <si>
    <t xml:space="preserve">Ada Bukti hasil tindaklanjut umpan balik dan keluhan,
ada Bukti hasil evaluasi dari tindaklanjut, ada hasil wawancara tentang Penggalian informasi terkait tindaklanjut atas umpan balik dan keluhan yang diterima.</t>
  </si>
  <si>
    <t xml:space="preserve">STANDAR 2.3  —  Penggerakan dan Pelaksanaan Pelayanan UKM</t>
  </si>
  <si>
    <t xml:space="preserve">2.3.1</t>
  </si>
  <si>
    <t xml:space="preserve">a) Ditetapkan mekanisme komunikasi dan koordinasi untuk mendukung keberhasilan pelayanan UKM kepada lintas program dan lintas sektor terkait (R).</t>
  </si>
  <si>
    <t xml:space="preserve">Ada SK Media komunikasi dan koordinasi di Puskesmas (lihat bab I), ada SOP Komunikasi
dan koordinasi</t>
  </si>
  <si>
    <t xml:space="preserve">b) Dilakukan komunikasi dan koordinasi kegiatan pelayanan UKM kepada lintas program dan lintas sektor terkait sesuai kebijakan, dan prosedur yang ditetapkan. (D, W)</t>
  </si>
  <si>
    <t xml:space="preserve">Ada bukti pertemuan Lokmin lintas program dan lintas sektor terkait, dan prosedur yang ditetapkan, ada undangan, daftar hadir, Notulen, dan gambar, ada media komunikasi (WA group, dll), ada hasil wawancara tentang Penggalian informasi terkait pelaksanaan komunikasi dan koordinasi yang dilakukan.</t>
  </si>
  <si>
    <t xml:space="preserve">STANDAR 2.4  —  Pembinaan Berjenjang Pelayanan UKM</t>
  </si>
  <si>
    <t xml:space="preserve">2.4.1</t>
  </si>
  <si>
    <t xml:space="preserve">a) Penanggung jawab UKM melakukan pembinaan kepada koordinator pelayanan dan pelaksana kegiatan UKM secara periodik sesuai dengan jadwal yang disepakati (D, W).</t>
  </si>
  <si>
    <t xml:space="preserve">Ada bukti pembinaan PJ. UKM kepada koordinator dan pelaksana kegiatan, ada jadwal pembinaan, ada catatan registrasi pembinaan, ada hasil wawancara tentang Penggalian informasi terkait pelaksanaan pembinaan yang Dilakukan.</t>
  </si>
  <si>
    <t xml:space="preserve">b) Penanggung jawab UKM, koordinator pelayanan dan pelaksana kegiatan UKM Puskesmas mengidentifikasi, menganalisis permasalahan dan hambatan dalam pelaksanaan kegiatan UKM, dan menyusun rencana tindaklanjut (D, W).</t>
  </si>
  <si>
    <t xml:space="preserve">Ada Hasil identifikasi masalah dan hambatan dalam pelaksanaan kegiatan UKM, ada Hasil analisis terhadap identifikasi masalah dan hambatan pelaksanaan kegiatan UKM yang telah dilaksanakan, ada RTL dari hasil analisis, Catatan: Pemenuhan poin 1, 2 dan 3 dapat dituliskan di dalam 1 form yang sama (tidak harus dibuatkan terpisah).</t>
  </si>
  <si>
    <t xml:space="preserve">c) Penanggung jawab UKM, koordinator pelayanan dan pelaksana kegiatan UKM melaksanakan tindak lanjut untuk mengatasi masalah dan hambatan dalam pelaksanaan kegiatan UKM.(D,W)</t>
  </si>
  <si>
    <t xml:space="preserve">Ada Bukti pelaksanaan tindaklnajut berdasarkan rencana tindak lanjut yang telah dituliskan pada angka 3 EP "b", ada hasil wawancara tentang Penggalian informasi terkait tindaklanjut yang dilakukan berdasarkan rencana tindaklanjut dari masalah dan hambatan yang ditemukan.</t>
  </si>
  <si>
    <t xml:space="preserve">d) Penanggung jawab UKM, koordinator pelayanan dan pelaksana kegiatan UKM melakukan evaluasi berdasarkan hasil pelaksanaan pada elemen penilaian huruf c dan melakukan tindaklanjut atas hasil evaluasi (D,W).</t>
  </si>
  <si>
    <t xml:space="preserve">Ada Bukti hasil pelaksanaan evaluasi terhadap pelaksanaan di EP "c", ada Bukti tindaklanjut atas hasil evaluasi yang telah dilakukan, ada hasil wawancara tentang Penggalian informasi terkait dengan pelaksanaan evaluasi atas EP "c" dan tindaklanjut terhadap hasil evaluasi</t>
  </si>
  <si>
    <t xml:space="preserve">STANDAR 2.5  —  Penguatan Pelayanan UKM dengan PIS-PK</t>
  </si>
  <si>
    <t xml:space="preserve">2.5.1</t>
  </si>
  <si>
    <t xml:space="preserve">a) Dibentuk Tim Pembina Keluarga, dan tim pengelola data PIS-PK dengan uraian tugas yang jelas (R).</t>
  </si>
  <si>
    <t xml:space="preserve">Ada SK Kepala Puskesmas ttg tim pembina keluarga dan tim pengelola data PIS-PK yang dilengkapi dengan uraian tugas yang jelas.</t>
  </si>
  <si>
    <t xml:space="preserve">b) Tim pembina keluarga melakukan kunjungan keluarga dan intervensi awal yang telah direncanakan melalui proses persiapan dan mendokumentasikan kegiatan tersebut (D, W).</t>
  </si>
  <si>
    <t xml:space="preserve">Ada Jadwal kegiatan, ada Surat Tugas untuk kunjungan rumah, ada Laporan hasil kegiatan disertai dengan foto pelaksanaan kegiatan, ada hasil waancara tentang Penggalian informasi terkait pelaksanaan kunjungan awal dan intervensi awal</t>
  </si>
  <si>
    <t xml:space="preserve">c) Tim pembina keluarga melakukan penghitungan indeks keluarga sehat (IKS) pada tingkat keluarga, RT, RW, desa/kelurahan, dan Puskesmas secara manual atau secara elektronik (dengan Aplikasi Keluarga Sehat) (D).</t>
  </si>
  <si>
    <t xml:space="preserve">Ada bukti hasil analisis data tentang IKS, RT, RW, Desa/Kelurahan dan Puskesmas  aplikasi komputer.</t>
  </si>
  <si>
    <t xml:space="preserve">d) Tim pembina keluarga menyampaikan informasi masalah kesehatan kepada kepala Puskesmas, penanggung jawab UKM, koordinator pelayanan, dan pelaksana kegiatan UKM untuk bersama-sama melakukan analisis hasil kunjungan keluarga dan mengomunikasikan dengan penanggung jawab mutu (D, W)</t>
  </si>
  <si>
    <t xml:space="preserve">Ada bukti pertemuan hasil kegiatan PIS-PK kepada kepala Puskesmas, penanggung jawab UKM, koordinator pelayanan, dan pelaksana kegiatan UKM, ada Jadwal kegiatan, ada Laporan hasil analisis kunjungan keluarga, ada Materi yang disampaikan, ada bukti pertemuan undangan, daftar hadir, notulen, dokumentasi, ada hasil wawancara tenang Penggalian informasi terkait pelaksanaan kegiatan pertemuan sampai dengan analisa yang dihasilkan.</t>
  </si>
  <si>
    <t xml:space="preserve">e) Tim pembina keluarga bersama penanggung jawab UKM, koordinator pelayanan, dan pelaksana kegiatan UKM menyusun intervensi lanjut kepada keluarga sesuai permasalahan kesehatan pada tingkat keluarga.(D,W)</t>
  </si>
  <si>
    <t xml:space="preserve">Ada rencana  intervensi lanjut sesuai dengan hasil analisis masalah keluarga,  ada Bukti  proses penyusunan materi intervensi lanjut, ada  undangan, daftar hadir, notulen, dokumentasi, ada hasil wawancara tentang Penggalian informasi terkait dengan penyusunan intervensi lanjut.</t>
  </si>
  <si>
    <t xml:space="preserve">f) Penanggung jawab UKM mengkoordinasikan pelaksanaan intervensi lanjut bersama dengan pihak terkait (D, W).</t>
  </si>
  <si>
    <t xml:space="preserve">Ada bukti Bukti dilakukan koordinasi pelaksanaan intervensi lanjut dengan pihak terkait sesuai dengan media koordinasi yang ditetapkan oleh Puskesmas, ada hasil wawancara tentang Penggalian informasi terkait dengan koordinasi pelaksanaan intervensi lanjut yang dilakukan.</t>
  </si>
  <si>
    <t xml:space="preserve">2.5.2</t>
  </si>
  <si>
    <t xml:space="preserve">a) Tim pembina keluarga bersama dengan penanggung jawab UKM melakukan analisis IKS awal dan pemetaan masalah di tiap tingkatan wilayah, sebagai dasar dalam menyusun rencana intervensi lanjut secara terintegrasi lintas program dan dapat melibatkan lintas sektor terkait (D, W)</t>
  </si>
  <si>
    <t xml:space="preserve">Ada Bukti analisis IKS awal dan pemetaan masalah di tiap tingkatan wilayah  RT, RW, Desa/Kel, ada hasil wawancara tentang Penggalian informasi terkait analisis IKS awal dan pemetaan masalah di tingkatan wilayah.</t>
  </si>
  <si>
    <t xml:space="preserve">b) Rencana intervensi lanjut dikomunikasikan dan dikoordinasikan dalam lokakarya mini bulanan dan lokakarya triwulanan Puskesmas.(D, W).</t>
  </si>
  <si>
    <t xml:space="preserve">Ada rencana intervensi lanjut, ada bukti komunikasi dan koordinasi rencana intervensi lanjut yang dituangkan dalam notula pertemuan lokakarya mini bulanan dan lokakarya triwulanan, ada hasil wawancara tentang Penggalian informasi terkait komunikasi dan koordinasi rencana intervensi lanjut.</t>
  </si>
  <si>
    <t xml:space="preserve">c) Dilaksanakan intervensi lanjutan sesuai dengan rencana yang disusun (D, W).</t>
  </si>
  <si>
    <t xml:space="preserve">Ada bukti pelaksanaan intervensi lanjut, ada surat penugasan, ada materi intervensi dan ada hasil intervensi, ada hasil wawancara tentang Penggalian informasi terkait pelaksanaan rencana intervensi lanjut.</t>
  </si>
  <si>
    <t xml:space="preserve">d) Penanggung jawab UKM Puskesmas berkoordinasi dengan penanggung jawab UKP, laboratorium, dan kefarmasian, penanggung jawab jaringan pelayanan dan jejaring Puskesmas dalam melakukan perbaikan pelaksanaan intervensi lanjutan yang dilakukan (D, W).</t>
  </si>
  <si>
    <t xml:space="preserve">Ada bukti Bukti koordinasi perbaikan dari intervensi lanjut yang dilakukan, ada hasil wawancara tentang Penggalian informasi terkait pelaksanaan koordinasi perbaikkan dari
rencana intervensi.</t>
  </si>
  <si>
    <t xml:space="preserve">e) Dilakukan evaluasi dan tindak lanjut perbaikan pada setiap tahapan PIS PK antara lain melalui supervisi, laporan, lokakarya mini dan pertemuan-pertemuan penilaian kinerja (D, W).</t>
  </si>
  <si>
    <t xml:space="preserve">Ada bukti  hasil evaluasi perbaikkan pada setiap tahapan PIS PK yang dapat dituangkan dalam laporan seperti laporan supervisi, notula lokmin dan pertemuan lainnya yang dilaksanakan oleh Puskesmas, ada Bukti hasil tindaklanjut dari pelaksanaan Evaluasi, ada hasil wawancara tentang penggalian informasi pelaksanaan evaluasi dan tindaklanjut pada setiap tahapan                       PIS PK.</t>
  </si>
  <si>
    <t xml:space="preserve">f) Koordinator pelayanan dan pelaksana kegiatan UKM melaksanakan intervensi lanjut dan melaporkan hasil yang telah dilaksanakan kepada tim pembina keluarga dan selanjutnya dilakukan pemuktahiran/update dokumentasi (D, W).</t>
  </si>
  <si>
    <t xml:space="preserve">Ada Bukti pelaksanaan intervensi lanjut, ada Bukti
pemuktahiran/update , ada hasil wawancara Penggalian informasi tentang pelaksanaan intervensi lanjut dan pemuktahiran
data yang dilakukan.</t>
  </si>
  <si>
    <t xml:space="preserve">2.5.3</t>
  </si>
  <si>
    <t xml:space="preserve">a) Ditetapkan sasaran Germas dalam pelaksanaan kegiatan UKM Puskesmas oleh kepala Puskesmas (R).</t>
  </si>
  <si>
    <t xml:space="preserve">Ada Sasaran Germas yang diuraikan dalam dokumen RUK/RPK, ada KAK kegiatan Germas.</t>
  </si>
  <si>
    <t xml:space="preserve">b) Dilaksanakan penyusunan perencanaan pembinaan Germas secara terintegrasi dalam kegiatan UKM Puskesmas (D, W).</t>
  </si>
  <si>
    <t xml:space="preserve">Ada Jadwal kegiatan germas, ada Bukti pelaksanaan penyusunan perencanaan pembinaan, minimal melampirkan daftar hadir notula yang diserta dengan foto kegiatan, ada hasil wawancara tenang Penggalian informasi terkait perencanaan pembinaan Germas.</t>
  </si>
  <si>
    <t xml:space="preserve">c) Dilakukan upaya pelaksanaan pembinaan Germas yang melibatkan lintas program dan lintas sektor terkait untuk mewujudkan perubahan perilaku sasaran Germas (D, W).</t>
  </si>
  <si>
    <t xml:space="preserve">Ada Bukti pelaksanaan pembinaan minimal melampirkan: Undangan, Daftar Hadir, Laporan hasil pembinaan (disertai foto bukti pelaksanaan kegiatan), ada hasil wawancara tentang Penggalian informasi terkait dengan pelaksanaan pembinaan Germas.</t>
  </si>
  <si>
    <t xml:space="preserve">d) Dilakukan pemberdayaan masyarakat, keluarga dan individu dalam mewujudkan gerakan masyarakat hidup sehat (D, W).</t>
  </si>
  <si>
    <t xml:space="preserve">Ada Jadwal kegiatan pemberdayaan masyarakat, ada Laporan hasil kegiatan pemberdayaan masyarakat, ada keluarga dan individu dalam mewujudkan gerakan masyarakat hidup sehat (disertai dengan foto bukti pelaksanaan kegiatan), ada hasil wawancara Penggalian informasi terkait kegiatan pemberdayaan masyarakat yang diupayakan perpengaruh pada peningkatan IKS.</t>
  </si>
  <si>
    <t xml:space="preserve">e) Dilakukan evaluasi dan tindak lanjut terhadap pelaksanaan pembinaan gerakan masyarakat hidup sehat (D,W).</t>
  </si>
  <si>
    <t xml:space="preserve">Ada Bukti  hasil evaluasi pelaksanaan pembinaan germas, ada 	Bukti hasil tindak lanjut terhadap hasil evaluasi ada analisis masalah, ada hasil wawancara Penggalian informasi terkait pelaksanaan evaluasi pembinaan Germas.</t>
  </si>
  <si>
    <t xml:space="preserve">STANDAR 2.6  —  Penyelenggaraan UKM Esensial</t>
  </si>
  <si>
    <t xml:space="preserve">2.6.1</t>
  </si>
  <si>
    <t xml:space="preserve">a) Tercapainya indikator kinerja pelayanan UKM Esensial Promosi Kesehatan sesuai dengan yang diminta dalam pokok pikiran disertai dengan analisisnya (R, D).</t>
  </si>
  <si>
    <t xml:space="preserve">Ada SK Kepala Puskesmas tentang Indikator dan target Kinerja Pelayanan UKM Promosi Kesehatan sebagai bagian dari indikator kinerja Puskesmas (presentasi posyandu aktif, terbentuknya tatanan sehat sesuai dengan pedoman; dan (3)	melakukan proses pemberdayaan masyarakat.),  ada Bukti pencapaian target indikator kinerja promosi kesehatan, ada Analisis pencapaian target indikator kinerja promosi kesehatan.</t>
  </si>
  <si>
    <t xml:space="preserve">b) Dilaksanakan upaya-upaya promotif dan preventif untuk mencapai kinerja pelayanan UKM Esensial Promosi Kesehatan sebagaimana pokok pikiran, dan tertuang di dalam RPK, sesuai dengan kebijakan, prosedur dan kerangka acuan kegiatan yang telah ditetapkan (R, D, W)</t>
  </si>
  <si>
    <t xml:space="preserve">Ada RPK tahunan dan RPK Bulanan, ada KAK pelayanan UKM esensial promosi kesehatan, ada SK tentang pelayanan UKM di Puskesmas, ada SOP sesuai dengan pelayanan UKM kesehatan promosi kesehatan, ada Bukti pelaksanaan pelayanan UKM
esensial promosi kesehatan sesuai pokok pikiran yaitu : advokasi dan sosialisasi kepada pemangku kepentingan dan masyarakat, Pendampingan dan pembinaan teknis dalam tahapan pemberdayaan masyarakat; koordinasi dengan lintas sektor dan pemangku kepentingan; Membangun kemitraan; melakukan peningkatan kapasitas; Penggerakan masyarakat; dan upaya promotof dan preventif, Misal, apabila kegiatan dalam bentuk pertemuan, minimal melampirkan Undangan, Notula dan/ atau laporan yang disertai dengan foto kegiatan, Daftar hadir.</t>
  </si>
  <si>
    <t xml:space="preserve">c) Dilakukan pemantauan secara periodik dan berkesinambungan terhadap capaian indikator dan upaya yang telah dilakukan (D, W)</t>
  </si>
  <si>
    <t xml:space="preserve">Ada Jadwal pemantauan, ada Hasil pemantauan capaian indikator promosi kesehatan yang disertai dengan analisis, ada hasil wawancara tentang Penggalian informasi upaya pemantauan dan penilaian pelayanan  promosi kesehatan</t>
  </si>
  <si>
    <t xml:space="preserve">d) Disusun rencana tindak lanjut dan dilakukan tindaklanjut berdasarkan hasil pemantauan yang terintegrasi ke dalam dokumen perencanaan (D, W)</t>
  </si>
  <si>
    <t xml:space="preserve">Ada Rencana tindak lanjut pelayanan promosi kesehatan sesuai hasil pemantauan dapat berupa RUK atau RPK perubahan atau RPK bulanan, ada Bukti hasil tindaklanjut sesuai dengan RTL yang telah disusun, ada hasil wawancara tentang Penggalian informasi upaya menyusun rencana tindak lanjut promosi kesehatan yang dilakukan</t>
  </si>
  <si>
    <t xml:space="preserve">e) Dilaksanakan pencatatan dan dilakukan pelaporan kepada kepala puskesmas dan dinas kesehatan daerah kabupaten/kota sesuai dengan prosedur yang telah ditetapkan (R, D, W).</t>
  </si>
  <si>
    <t xml:space="preserve">Ada SOP Pencatata dan Pelaporan Promkes, ada. Bukti pencatatan indikator kinerja pelayanan UKM promosi kesehatan, ada Bukti pelaporan capaian indikator pelayanan UKM promosi kesehatan    kepada Kepala Puskesmas sesuai mekanisme yang telah ditetapkan, ada Bukti pelaporan indikator kinerja promosi kesehatan yang terintegrasi dengan pelaporan kinerja Puskesmas kepada Dinas Kesehatan. Catatan: Pencatatan pelaporan mengikuti regulasi, jika ada sistem pelaporan elektronik yang ditetapkan oleh Kemenkes maka pastikan Puskesmas
sudah melaksanakan.ada hasil wawancara tentang Penggalian informasi terkait pencatatan dan pelaporan promosi kesehatan, Jenis pelaporan elektronik mengikuti pemberlakukan saat dilaksanakan survei.</t>
  </si>
  <si>
    <t xml:space="preserve">2.6.2</t>
  </si>
  <si>
    <t xml:space="preserve">a) Tercapainya indikator kinerja pelayanan UKM Esensial Penyehatan Lingkungan sesuai dengan pokok pikiran disertai dengan analisisnya (R, D, W).</t>
  </si>
  <si>
    <t xml:space="preserve">Ada SK Kepala Puskesmas tentang Indikator dan target Kinerja Pelayanan UKM penyehatan lingkungan  sebagai bagian dari indikator kinerja Puskesmas (Jml Desa STBM, persentasi TFU yang diawasi, dan persentasi TPP yag diawasi)  , ada Bukti pencapaian target indikator kinerja penyehatan lingkungan, ada Analisis pencapaian target indikator kinerja penyehatan lingkungan.</t>
  </si>
  <si>
    <t xml:space="preserve">b) Dilaksanakan upaya-upaya promotif dan preventif untuk mencapai kinerja pelayanan UKM Esensial Penyehatan Lingkungan sebagaimana pokok pikiran, dan tertuang di dalam RPK, sesuai dengan kebijakan, prosedur dan kerangka acuan kegiatan yang telah ditetapkan (R, D, W)</t>
  </si>
  <si>
    <t xml:space="preserve">Ada RPK tahunan dan RPK Bulanan, ada KAK pelayanan UKM penyehatan lingkungan, ada SK tentang pelayanan UKM di Puskesmas, ada SOP sesuai dengan pelayanan UKM penyehatan
lingkungan, ada Bukti pelaksanaan pelayanan penyehatan lingkungan sesuai dengan pokok pikiran yaitu : pemicuan, pendampingan verifikasi desa STBM serta update data; inspeksi kesehatan lingkungan  TFU dan TPP, pembinaan, update  data; Melakukan upaya-upaya promotif dan preventif sesuai dengan indikator tambahan  yang ditetapkan oleh Puskesmas, ada Bukti pelaksanaan disesuaikan dengan jenis kegiatan. Misal, apabila kegiatan dalam bentuk pertemuan, minimal melampirkan: UndangaNotula dan/ atau laporan yang disertai dengan foto kegiatan Daftar hadir, ada hasil wawancara tentang Penggalian informasi terkait upaya promotif dan preventif UKM pelayanan Penyehatan Lingkungan.</t>
  </si>
  <si>
    <t xml:space="preserve">c) Dilakukan pemantauan secara periodik dan berkesinambungan terhadap capaian indikator dan upaya yang telah dilakukan (D, W).</t>
  </si>
  <si>
    <t xml:space="preserve">Ada Jadwal pemantauan, ada Hasil pemantauan
capaian indikator penyehatan lingkungan yangdisertai dengan analisis, ada hasil wawancara tentang Penggalian informasi upaya pemantauan dan penilaian pelayanan penyehatan lingkungan</t>
  </si>
  <si>
    <t xml:space="preserve">d) Disusun rencana tindak lanjut dan dilakukan tindaklanjut berdasarkan hasil pemantauan yang terintegrasi ke dalam dokumen perencanaan (D, W).</t>
  </si>
  <si>
    <t xml:space="preserve">Ada Rencana tindak lanjut pelayanan penyehatan lingkungan sesuai hasil pemantauan dapat berupa RUK atau RPK perubahan atau RPK bulanan, ada Bukti hasil tindaklanjut, ada hasil wawancara tentang Penggalian informasi upaya menyusun rencana tindak lanjut penyehatan lingkungan yang dilakukan.</t>
  </si>
  <si>
    <t xml:space="preserve">e) Dilaksanakan pencatatan, dan dilakukan pelaporan kepada kepala puskesmas dan dinas kesehatan daerah kabupaten/kota sesuai dengan prosedur yang telah ditetapkan (R, D, W).</t>
  </si>
  <si>
    <t xml:space="preserve">Ada SOP Pencatata dan Pelaporan Kesling, ada Bukti pencatatan indikator kinerja pelayanan UKM penyehatan lingkungan, ada Bukti pelaporan capaian indikator pelayanan UKM penyehatan lingkungan kepada Kepala Puskesmas sesuai mekanisme yang telah ditetapkan, ada Bukti pelaporan indikator kinerja penyehatan lingkungan yang terintegrasi dengan pelaporan kinerja Puskesmas kepada Dinas Kesehatan. Catatan: Pencatatan pelaporan mengikuti regulasi, jika ada sistem pelaporan elektonik yang ditetapkan oleh Kemenkes maka pastikan Puskesmas sudah melaksanakan Pencatatan pelaporan terkait penyehatan lingkungan secara elektronik misalnya.
e-monev HSP (Hygiene Sanitasi Pangan), e-monev E1 (HygieneTempat Fasilitas Umum), Sikelim(Laporan Limbah), e-STBM Jenis pelaporan elektronik mengikuti pemberlakukan saat dilaksanakan survei</t>
  </si>
  <si>
    <t xml:space="preserve">2.6.3</t>
  </si>
  <si>
    <t xml:space="preserve">a) Tercapainya indikator kinerja pelayanan UKM Esensial Kesehatan Keluarga sesuai dengan pokok pikiran disertai dengan analisisnya (R, D)</t>
  </si>
  <si>
    <t xml:space="preserve">Ada SK Kepala Puskesmas tentang Indikator dan target	Kinerja Pelayanan	UKM kesehatan keluarga sebagai bagian dari indikator kinerja Puskesmas ((persentase bumil mendapatkan pelayanan antenatal terpadu; persentase balita mendapatkan pelayanan sesuai dengan standar minimal, persentase anak usia sekolah dan remaja masuk dalam penjaringan kesehatan; persentase calon pengantin mendapatkan skrining kesehatan; persentase PUS yang mendapatkan pelayanan kontrasepsi; dan presentasi lanjut usia mendapatkan pelayanan kesehatan), ada Bukti pencapaian target indikator kinerja kesehatan keluarga, ada Analisis pencapaian target indikator kinerja kesehatan keluarga.</t>
  </si>
  <si>
    <t xml:space="preserve">b) Dilaksanakan upaya-upaya promotif dan preventif untuk mencapai kinerja pelayanan UKM Esensial Kesehatan Keluarga sebagaimana pokok pikiran, dan tertuang di dalam RPK, sesuai dengan kebijakan, prosedur dan kerangka acuan kegiatan yang telah ditetapkan (R, D, W)</t>
  </si>
  <si>
    <t xml:space="preserve">Ada  PK tahunan dan RPK Bulanan, ada KAK pelayanan UKM kesehatan keluarga, ada SK tentang pelayanan	UKM	di Puskesmas, ada SOP sesuai dengan pelayanan UKM kesehatan keluarga, ada Bukti pelaksanaan pelayanan UKM esensial kesehatan keluarga sesuai dengan pokok pikiran minimal. bukti pelaksanaan disesuaikan dengan jenis kegiatan. Misal, apabila kegiatan dalam bentuk pertemuan, minimal melampirkan: Undangan, Notula dan/atau laporan yang disertai dengan foto kegiatan, Daftar hadir.</t>
  </si>
  <si>
    <t xml:space="preserve">Ada pemantauan dan penilaian secara periodik dan berkesinambungan, ada Lokmin bulanan dan tribulanan, ada KAK, undangan, daftar hadir, notulen, dokumentasi, ada analisis masalah Kesga.</t>
  </si>
  <si>
    <t xml:space="preserve">Ada Jadwal pemantauan, ada Hasil pemantauan capaian indikator kesehatan keluarga yang disertai dengan analisis. Ada hasil wawancara tentang Penggalian informasi upaya pemantauan dan penilaian pelayanan kesehatan keluarga.</t>
  </si>
  <si>
    <t xml:space="preserve">Ada SOP Pencatatan dan Pelaporan (lihat bab I), ada Bukti pencatatan indikator kinerja pelayanan UKM kesehatan keluarga, ada Bukti	pelaporan capaian indikator pelayanan UKM kesehatan keluarga kepada	Kepala Puskesmas sesuai mekanisme yang telah ditetapkan, ada  Bukti pelaporan indikator kinerja kesehatan keluarga yang terintegrasi dengan pelaporan kinerja Puskesmas kepada Dinas Kesehatan. Catatan: Pencatatan pelaporan mengikuti regulasi saat ini, jika ada sistem pelaporan elektonik yang ditetapkan oleh Kemenkes maka pastikan Puskesmas sudah melaksanakan. Pencatatan pelaporan kinerja kesga secara elektronik misalnya e- kohort, SIGA. Jenis pelaporan elektronik mengikuti pemberlakukan saat dilaksanakan survei</t>
  </si>
  <si>
    <t xml:space="preserve">2.6.4</t>
  </si>
  <si>
    <t xml:space="preserve">a) Tercapainya indikator kinerja pelayanan UKM esensial gizi sebagaimana yang diminta dalam pokok pikiran disertai dengan analisisnya (R, D).</t>
  </si>
  <si>
    <t xml:space="preserve">Ada SK Kepala Puskesmas tentang Indikator dan target Kinerja Pelayanan UKM gizi sebagai bagian dari indikator kinerja Puskesmas(persentase bayi usia kurang dari enam bulan mendapat ASI eksklusif; ersentase anak usia 6-23 bulan yang mendapat makanan pendamping ASI (MP-ASI); dan persentase balita gizi kurang yang	mendapat tambahan asupan gizi), ada Bukti pencapaian target indikator kinerja Gizi, ada Analisis pencapaian target indikator kinerja Gizi.</t>
  </si>
  <si>
    <t xml:space="preserve">b) Dilaksanakan upaya-upaya promotif dan preventif untuk mencapai kinerja pelayanan UKM Esensial Gizi sebagaimana pokok pikiran dan tertuang di dalam RPK, sesuai dengan kebijakan, prosedur dan kerangka acuan kegiatan yang telah ditetapkan (R, D, W).</t>
  </si>
  <si>
    <t xml:space="preserve">Ada RPK tahunan dan RPK Bulanan, ada KAK pelayanan UKM gizi, ada SK tentang pelayanan UKM di Puskesmas, ada SOP sesuai dengan pelayanan UKM gizi, ada Bukti pelaksanaan pelayanan UKM esensial Gizi sesuai dengan pokok pikiran minimal. Bukti pelaksanaan disesuaikan dengan jenis kegiatan. Misal, apabila kegiatan dalam bentuk pertemuan, minimal melampirkan; Undangan, Notula dan/ atau laporan yang disertai dengan foto kegiata dan Daftar hadir, ada hasil wawancara tentang penggalian informasi pelayanan gizi.</t>
  </si>
  <si>
    <t xml:space="preserve">Ada Jadwal pemantauan, ada Hasil pemantauan capaian indikator gizi yang disertai dengan analisis, ada hasil wawancara tentang penggalian informasi upaya pemantauan dan penilaian pelayanan gizi.</t>
  </si>
  <si>
    <t xml:space="preserve">Ada Rencana tindak lanjut pelayanan gizi sesuai hasil pemantauan dapat berupa RUK atau RPK perubahan atau RPK bulanan, ada Bukti hasil tindak lanjut.</t>
  </si>
  <si>
    <t xml:space="preserve">e) Dilaksanakan pencatatan dan pelaporan kepada kepala puskesmas dan dinas kesehatan daerah kabupaten/kota sesuai dengan prosedur yang telah ditetapkan (R, D, W).</t>
  </si>
  <si>
    <t xml:space="preserve">Ada SOP Pencatata dan Pelaporan Gizi, ada Bukti pencatatan indikator kinerja pelayanan UKM Gizi, ada Bukti pelaporan capaian indikator pelayanan UKM Gizi kepada Kepala Puskesmas sesuai mekanisme yang telah ditetapkan, ada Bukti pelaporan indikator kinerja Gizi yang terintegrasi dengan pelaporan kinerja Puskesmas kepada Dinas Kesehatan. Catatan: Pencatatan pelaporan mengikuti regulasi jika ada sistem pelaporan elektonik yang ditetapkan oleh Kemenkes maka pastikan Puskesmas sudah  melaksanakan Pencatatan pelaporan program gizi misal aplikasi sigizi terpadu, Jenis pelaporan elektronik mengikuti pemberlakukan saat
dilaksanakan survei.</t>
  </si>
  <si>
    <t xml:space="preserve">2.6.5</t>
  </si>
  <si>
    <t xml:space="preserve">a) Tercapainya indikator kinerja pelayanan UKM esensial Pencegahan dan Pengendalian Penyakit sesuai dengan pokok pikiran disertai dengan analisisnya (R, D).</t>
  </si>
  <si>
    <t xml:space="preserve">Ada SK Kepala Puskesmas tentang Indikator dan target Kinerja Pelayanan UKM Pencegahan dan Pengendalian Penyakit sebagai bagian dari indikator kinerja Puskesmas(diukur dengan tiga indikator kinerja utama pelayanan berdasarkan prioritas masalah di Puskesmas yang ditetapkan oleh Kepala Puskesmas), ada Bukti pencapaian target indikator kinerja Pencegahan dan Pengendalian Penyakit, ada Analisis pencapaian target indikator kinerja Pencegahan dan Pengendalian Penyakit.</t>
  </si>
  <si>
    <t xml:space="preserve">b) Dilaksanakan upaya-upaya promotif dan preventif untuk mencapai kinerja pelayanan UKM Esensial Pencegahan dan Pengendalian Penyakit sebagaimana pokok pikiran, dan tertuang di dalam RPK, sesuai dengan kebijakan, prosedur dan kerangka acuan kegiatan yang telah ditetapkan (R, D, W).</t>
  </si>
  <si>
    <t xml:space="preserve">Ada RPK tahunan dan RPK Bulanan, ada KAK pelayanan UKM Pencegahan dan Pengendalian Penyakit, ada SK tentang pelayanan UKM di Puskesmas, ada SOP sesuai dengan pelayanan UKM Pencegahan dan Pengendalian Penyakit, ada Bukti pelaksanaan pelayanan UKM esensial pencegahan dan pengendalian penyakit sesuai dengan pokok pikiran minimal. Bukti pelaksanaan disesuaikan  dengan jenis kegiatan. Misal, apabila kegiatan dalam bentuk pertemuan, minimal melampirkan; Undangan, Notula dan/ atau laporan yang disertai dengan foto kegiata dan Daftar hadir, ada hasil wawancara tentang penggalian informasi pencegahan dan pengendalian penyakit.</t>
  </si>
  <si>
    <t xml:space="preserve">Ada Jadwal pemantauan, ada Hasil pemantauan capaian indikator Pencegahan dan Pengendalian Penyakit yang disertai dengan analisis, ada hasil wawancara tentang penggalian informasi upaya pemantauan dan penilaian pelayanan pencegahan dan pengendalian penyakit.</t>
  </si>
  <si>
    <t xml:space="preserve">Ada Rencana tindak lanjut pelayanan Pencegahan dan Pengendalian Penyakit sesuai hasil pemantauan dapat berupa RUK atau RPK perubahan atau RPK bulanan, ada Bukti hasil tindaklanjut, ada hasil wawancara tentang Penggalian informasi upaya menyusun rencana tindak lanjut Pencegahan dan Pengendalian Penyakit yang dilakukan.</t>
  </si>
  <si>
    <t xml:space="preserve">e) Dilaksanakan pencatatan, dan dilakukan pelaporan kepada kepala puskesmas dan dinas kesehatan daerah kabupaten/kota sesuai dengan prosedur yang telah ditetapkan (R, D, O, W).</t>
  </si>
  <si>
    <t xml:space="preserve">Ada SOP, ada  bukti pencatatan indikator kinerja pelayanan UKM pencegahan dan pengendalian penyakit, ada Bukti pelaporan capaian indikator pelayanan UKM pencegahan dan pengendalian penyakit kepada Kepala Puskesmas sesuai mekanisme yang telah ditetapkan, ada Bukti pelaporan indikator kinerja pencegahan dan pengendalian penyakit yang terintegrasi dengan pelaporan kinerja Puskesmas kepada Dinas Kesehatan. Catatan: Pencatatan pelaporan pada standar ini mengikuti target yang diprioritaskan oleh Puskesmas. Pencatatan pelaporan mengikuti regulasi, ada aplikasi pencatatan dan pelaporan  Sihepi (hepatitis,sipilis,HIV), SIHA (HIV/IMS), ARK (Register kohor PDP), SITB ( pemeriksaan TCM TB), SMILE( Penginputan masuk keluarx vaksin rutin dan covid), Silantor (pelaporan DBD , lepto dan malaria), ada hasil wawancara tentang  pencatatan dan pelaporan Pencegahan dan Pengendalian Penyakit.</t>
  </si>
  <si>
    <t xml:space="preserve">STANDAR 2.7  —  Penyelenggaraan UKM Pengembangan</t>
  </si>
  <si>
    <t xml:space="preserve">2.7.1</t>
  </si>
  <si>
    <t xml:space="preserve">a) Ditetapkan jenis - jenis pelayanan UKM Pengembangan sesuai dengan hasil analisis permasalahan di wilayah kerja Puskesmas (R, D).</t>
  </si>
  <si>
    <t xml:space="preserve">Ada SK Jenis Pelayanan UKM pengembangan yang terintegrasi dengan SK Jenis pelayanan yang telah ditetapkan oleh Puskesmas, ada Hasil analisis penetapan UKM Pengembangan.</t>
  </si>
  <si>
    <t xml:space="preserve">b) Tercapainya indikator kinerja pelayanan UKM Pengembangan disertai dengan analisisnya (R,D).</t>
  </si>
  <si>
    <t xml:space="preserve">Ada SK Kepala Puskesmas tentang Indikator dan target Kinerja UKM pengembangan yang terintegrasi dengan indikator kinerja Puskesmas, ada Bukti capaian kinerja UKM pengembangan.</t>
  </si>
  <si>
    <t xml:space="preserve">c) Dilaksanakan upaya-upaya promotif dan preventif untuk mencapai kinerja pelayanan UKM Pengembangan yang telah ditetapkan dan tertuang di dalam RPK, sesuai dengan kebijakan, prosedur dan kerangka acuan kegiatan yang telah ditetapkan (R, D, W).</t>
  </si>
  <si>
    <t xml:space="preserve">Ada RPK tahunan dan RPK Bulanan, ada KAK pelayanan UKM pengembangan, da SOP sesuai dengan pelayanan UKM pengembangan, ada Bukti pelaksanaan pelayanan UKM pengembangan sesuai kebijakan Puskesmas minimal. Bukti pelaksanaan disesuaikan dengan jenis kegiatan. Misal, apabila kegiatan dalam bentuk pertemuan, minimal
melampirkan : Undangan, 	Notula dan/ atau laporan yang disertai dengan foto kegiatan, Daftar hadir, ada hasil wawancara Penggalian informasi upaya promotof dan preventif UKM pengembangan.</t>
  </si>
  <si>
    <t xml:space="preserve">d) Dilakukan pemantauan secara periodik dan berkesinambungan terhadap capaian indikator dan upaya yang telah dilakukan (D, O, W).</t>
  </si>
  <si>
    <t xml:space="preserve">Ada Bukti pemantauan UKM pengembangan, ada Bukti penilaian serta rencana tindak lanjut UKM pengembangan, ada Pengamatan terhadap upaya pemantauan capaian indikator, ada hasil wawancara Penggalian informasi upaya pemantauan dan penilaian UKM pengembangan.</t>
  </si>
  <si>
    <t xml:space="preserve">e) Disusun rencana tindak lanjut berdasarkan hasil pemantauan yang terintegrasi ke dalam dokumen perencanaan (D, W)</t>
  </si>
  <si>
    <t xml:space="preserve">Ada Rencana tindak lanjut UKM pengembangan berdasarkan hasil pemantauan, ada hasil wawancara Penggalian informasi terhadap proses penyusunan rencana tindak Lanjut.</t>
  </si>
  <si>
    <t xml:space="preserve">f) Dilaksanakan pencatatan, dan dilakukan pelaporan kepada kepala puskesmas dan dinas kesehatan daerah kabupaten/kota sesuai dengan prosedur yang telah ditetapkan (R, D, W)</t>
  </si>
  <si>
    <t xml:space="preserve">Ada SOP Pencatatan dan Pelaporan (lihat bab I), ada Bukti pencatatan indikator kinerja pelayanan UKM pengembangan, ada Bukti pelaporan capaian indikator pelayanan UKM pengembangan Kepala Puskesmas sesuai mekanisme yang telah ditetapkan, ada Bukti pelaporan indikator kinerja UKM pengembangan yang terintegrasi dengan pelaporan kinerja Puskesmas kepada Dinas Kesehatan.Catatan:
Sistem pelaporan eletronik mengikuti jenis pelayanan UKM pengembangan yang ditetapkan oleh Puskesmas, (ika ada sistem pelaporan elektonik yang ditetapkan oleh Kemenkes maka pastikan Puskesmas sudah melaksanakan), ada hasil wawancara Penggalian informasi pencatatan dan pelaporan UKM Pengembangan.</t>
  </si>
  <si>
    <t xml:space="preserve">2.8.1</t>
  </si>
  <si>
    <t xml:space="preserve">a) Penanggung jawab UKM menyusun kerangka acuan dan jadwal supervisi pelaksanaan pelayanan UKM Puskesmas (R,D).</t>
  </si>
  <si>
    <t xml:space="preserve">Ada Kerangka acuan kegiatan supervisi, ada jadwal kegiatan supervisi.</t>
  </si>
  <si>
    <t xml:space="preserve">b) Kerangka acuan dan jadwal supervisi pelaksanaan pelayanan UKM Puskesmas diinformasikan kepada koordinator pelayanan dan pelaksana kegiatan  UKM . (D.W)</t>
  </si>
  <si>
    <t xml:space="preserve">Ada bukti penyampaian informasi KAK dan jadwal supervisi kepada koordinator pelayanan dan pelaksana, sesuai dengan media informasi yang ditetapkan, ada hasil wawancara Penggalian informasi mengenai pelaksanaan supervisi.</t>
  </si>
  <si>
    <t xml:space="preserve">c) Koordinator pelayanan dan pelaksana kegiatan UKM Puskesmas melaksanakan analisis mandiri terhadap proses pelaksanaan kegiatan UKM Puskesmas sebelum supervisi dilakukan (D, W).</t>
  </si>
  <si>
    <t xml:space="preserve">Ada capaian Kinerja dan kegiatan UKM esensial dan UKM Pengembangan, ada  analisis masalah yang dilakukan oleh koordinator. dan para pelaksana kegiatan UKM sebelum dilakukani supervisi oleh Kepala Puskesmas dan PJ.UKM, ada bukti supervis; surat tugas, dan dokumentasi, ada hasil wawancara Penggalian informasi terkait pelaksanaan supervisi.</t>
  </si>
  <si>
    <t xml:space="preserve">d) Kepala Puskesmas dan penanggung jawab UKM Puskesmas melakukan supervisi sesuai dengan kerangka acuan kegiatan supervisi dan jadwal yang disusun (D, W).</t>
  </si>
  <si>
    <t xml:space="preserve">Ada bukti pelaksanaan supervisi minimal terdiri dari :
surat tugas, laporan supervisi beserta dokumentasi, ada hasil wawancara Penggalian informasi terkait penyampaian hasil supervisi.</t>
  </si>
  <si>
    <t xml:space="preserve">e) Kepala Puskesmas dan penanggung jawab UKM Puskesmas menyampaikan hasil supervisi kepada koordinator pelayanan dan pelaksanan kegiatan (D, W).)</t>
  </si>
  <si>
    <t xml:space="preserve">Ada Bukti penyampaian hasil supervisi : ada laporan supervisi, ada catatan atau rekomendasi hasil supervisi, ada hasil wawancara Penggalian informasi terkait penyampaian hasil supervisi.</t>
  </si>
  <si>
    <t xml:space="preserve">f) Koordinator pelayanan dan pelaksana kegiatan UKM menindaklanjuti hasil supervisi dengan tindakan perbaikan sesuai dengan permasalahan yang ditemukan (D, W).</t>
  </si>
  <si>
    <t xml:space="preserve">Ada Bukti hasil tindak lanjut sesuai rekomendasi hasil supervisi, ada hasil wawancara Penggalian informasi tentang tindak  lanjut hasil supervisi berupa upaya perbaikan.</t>
  </si>
  <si>
    <t xml:space="preserve">STANDAR 2.8  —  Pengawasan, Pengendalian, dan Penilaian Kinerja Pelayanan UKM</t>
  </si>
  <si>
    <t xml:space="preserve">2.8.2</t>
  </si>
  <si>
    <t xml:space="preserve">a) Dilakukan pemantauan kesesuaian pelaksanaan kegiatan terhadap kerangka acuan dan jadwal kegiatan pelayanan UKM (D, W).</t>
  </si>
  <si>
    <t xml:space="preserve">Ada Jadwal pemantauan, ada Bukti pemantauan pelaksanaan kegiatan sesuai kerangka acuan, ada   Bukti pemantauan pelaksanaan kegiatan sesuai jadwal, ada hasil wawancara Penggalian informasi terkait pemantauan pelaksanaan kegiatan	sesuai kerangka acuan dan jadwal</t>
  </si>
  <si>
    <t xml:space="preserve">b) Dilakukan pembahasan terhadap hasil pemantauan dan hasil capaian kegiatan pelayanan UKM oleh kepala Puskesmas, penanggung jawab UKM Puskesmas, koordinator pelayanan, dan pelaksana kegiatan UKM dalam lokakarya mini bulanan dan lokakarya mini triwulanan (D, W).</t>
  </si>
  <si>
    <t xml:space="preserve">Ada Jadwal lokakarya mini bulanan dan lokakarya mini triwulanan, ada Bukti pembahasan terhadap hasil pemantauan dan hasil capaian (lihat bab 1), ada bukti pelaksanaan Lokmin bulanan dan tribulanan, undangan, daftar hadir, Notulen, dan dokumentasi, ada hasil wawancara Penggalian informasi terkait pembahasan hasil pemantauan hasil capaian kegiatan UKM.</t>
  </si>
  <si>
    <t xml:space="preserve">c) Penanggung jawab UKM Puskesmas, koordinator pelayanan, dan pelaksana melakukan tindak lanjut perbaikan berdasarkan hasil pemantauan (D, W).</t>
  </si>
  <si>
    <t xml:space="preserve">Ada Bukti tindak lanjut perbaikan sesuai hasil pemantauan, ada hasil wawancara penggalian informasi terkai pelaksanaan tindak lanjut berdasarkan hasil pemantauan.</t>
  </si>
  <si>
    <t xml:space="preserve">d) Kepala Puskesmas dan penanggung jawab UKM bersama lintas program dan lintas sektor terkait melakukan penyesuaian rencana kegiatan berdasarkan hasil perbaikan dan dengan tetap mempertimbangkan kebutuhan dan harapan masyarakat atau sasaran (D, W)</t>
  </si>
  <si>
    <t xml:space="preserve">Ada Bukti penyesuaian rencana kegiatan berdasarkan hasil pemantauan yang dituangkan ke dalam dokumen perencanaan seperti RUK atau RPK Perubahan atau RPKB, ada Bukti pelaksanaan kegiatan sesuai dengan jenis kegiatan yang dilakukan, misal jika dalam bentuk pertemuan, ada Undangan, Notula dan/ atau laporan yang disertai dengan foto kegiatan, Daftar hadir</t>
  </si>
  <si>
    <t xml:space="preserve">e) Penanggung jawab UKM Puskesmas menginformasikan penyesuaian rencana kegiatan kepada koordinator pelayanan, pelaksanan kegiatan, sasaran kegiatan, lintas program dan lintas sektor terkait (D,W).</t>
  </si>
  <si>
    <t xml:space="preserve">Ada  Bukti penyampaian informasi penyesuaian rencana kegiatan sesuai mekanisme penyampaian informasi yang ditetapkan, ada hasil wawancara Penggalian informasi terkait informasi penyesuaian rencana kegiatan.</t>
  </si>
  <si>
    <t xml:space="preserve">2.8.3</t>
  </si>
  <si>
    <t xml:space="preserve">a) Ditetapkan indikator kinerja pelayanan UKM. (R)</t>
  </si>
  <si>
    <t xml:space="preserve">Ada SK Indikator kinerja pelayanan UKM yang terintegrasi dengan SK indikator kinerja Puskesmas (lihat di bab I).</t>
  </si>
  <si>
    <t xml:space="preserve">b) Koordinator pelayanan dan pelaksana kegiatan UKM melakukan pengumpulan data capaian indikator kinerja pelayanan UKM sesuai dengan periodisasi pengumpulan yang telah ditetapkan. (R, D,W)</t>
  </si>
  <si>
    <t xml:space="preserve">Ada SK Kepala Puskesmas tentang pencatatan dan pelaporan, ada SOP Pencatatan dan pelaporan
(Lihat di bab I), ada Bukti pengumpulan data capaian indikator kinerja pelayanan UKM sesuai periode dan regulasi yang ditetapkan di Puskesmas, ada hasil wawancara Penggalian informasi kegiatan mengumpulkan data capaian indikator kinerja pelayanan UKM sesuai periode.</t>
  </si>
  <si>
    <t xml:space="preserve">c) Penanggung jawab UKM dan Koordinator pelayanan serta pelaksana kegiatan melakukan pembahasan terhadap capaian kinerja bersama dengan lintas program. (D,W)</t>
  </si>
  <si>
    <t xml:space="preserve">Ada Bukti pembahasan capaian kinerja dengan lintas program, ada undangan, daftar hadir, Notulen, dan dokumentasi, ada hasil wawancara Penggalian informasi terkait pembahasan capaian kinerja dengan lintas program.</t>
  </si>
  <si>
    <t xml:space="preserve">d) Disusun rencana tindak lanjut dan dilakukan tindaklanjut berdasarkan hasil pembahasan capaian kinerja pelayanan UKM. (D,W)</t>
  </si>
  <si>
    <t xml:space="preserve">Ada Bukti rencana tindak lanjut sesuai hasil pembahasan capaian kinerja, ada Bukti hasil tindaklanjut, ada hasil wawancara Penggalian informasi terkait penyusunan rencana tindak lanjut sesuai hasil pembahasan capaian kinerja.</t>
  </si>
  <si>
    <t xml:space="preserve">e) Dilakukan pelaporan data capaian kinerja kepada dinas kesehatan daerah kabupaten/kota. (D)</t>
  </si>
  <si>
    <t xml:space="preserve">Ada Bukti pelaporan data capaian kinerja UKM kepada Dinas Kesehatan Kabupaten/Kota sesuai dengan ketentuan yang ditetapkan di Puskesmas.</t>
  </si>
  <si>
    <t xml:space="preserve">f) Ada bukti umpan balik (feedback) dari dinas kesehatan daerah kabupaten/kota terhadap laporan upaya perbaikan capaian kinerja pelayanan UKM Puskesmas secara periodik. (D)</t>
  </si>
  <si>
    <t xml:space="preserve">Ada bukti umpanbalik (feedback)dari Dinas Kesehatan  terhadap laporan kinerja Puskesmas</t>
  </si>
  <si>
    <t xml:space="preserve">g) Dilakukan tindak lanjut terhadap umpan balik dari dinas kesehatan daerah kabupaten/kota. (D)</t>
  </si>
  <si>
    <t xml:space="preserve">Ada Bukti hasil tindak lanjut terhadap umpan balik hasil kinerja dari Dinas Kesehatan Kabupaten/Kota.</t>
  </si>
  <si>
    <t xml:space="preserve">2.8.4</t>
  </si>
  <si>
    <t xml:space="preserve">a) Kepala Puskesmas, penanggung Jawab UKM , koordinator pelayanan dan pelaksana kegiatan UKM melakukan pembahasan penilaian kinerja paling sedikit dua kali dalam setahun (R, D, W).</t>
  </si>
  <si>
    <t xml:space="preserve">Ada SK tentang penilaian kinerja Puskesmas (PKP), ada SOP pelaksanaan penilaian kinerja Puskesmas, ada Bukti pembahasan penilaian kinerja, undangan, daftar hadir, Notulen. Dan foto kegiatan, ada hasil wawancara Penggalian informasi terkait pembahasan kinerja.</t>
  </si>
  <si>
    <t xml:space="preserve">b) Disusun rencana tindak lanjut terhadap hasil pembahasan penilaian kinerja pelayanan UKM (D, W).</t>
  </si>
  <si>
    <t xml:space="preserve">Ada Bukti rencana tindak lanjut berdasarkan hasil pembahasan capaian kinerja pelayanan UKM, ada hasil wawancara Penggalian informasi terkait penyusunan rencana tindak lanjut untuk indikator yang tidak tercapai.</t>
  </si>
  <si>
    <t xml:space="preserve">c) Hasil penilaian kinerja dilaporkan kepada dinas kesehatan daerah kabupaten/kota (D).</t>
  </si>
  <si>
    <t xml:space="preserve">Ada Bukti pelaporan hasil penilaian kinerja (PKP) ke Dinas Kesehatan Kab/ Kota</t>
  </si>
  <si>
    <t xml:space="preserve"> </t>
  </si>
  <si>
    <t xml:space="preserve">d) Ada bukti umpan balik (feedback) dari dinas kesehatan daerah kabupaten/kota terhadap laporan hasil penilaian kinerja pelayanan UKM (D).</t>
  </si>
  <si>
    <t xml:space="preserve">Ada bukti umpanbalik (feedback)dari Dinas Kesehatan  atas laporan kinerja Puskesmas.</t>
  </si>
  <si>
    <t xml:space="preserve">e) Hasil umpan balik (feedback) dari dinas kesehatan daerah kabupaten/kota ditindaklanjuti. (D).</t>
  </si>
  <si>
    <t xml:space="preserve">Ada Bukti hasil tindak lanjut umpan balik dari Dinas Kesehatan Daerah Kab/Kota.</t>
  </si>
  <si>
    <t xml:space="preserve">RINGKASAN CAPAIAN BAB II</t>
  </si>
  <si>
    <t xml:space="preserve">Perencanaan Terpadu Pelayanan UKM</t>
  </si>
  <si>
    <t xml:space="preserve">Kemudahan Akses Sasaran dan Masyarakat terhadap Pelayanan UKM</t>
  </si>
  <si>
    <t xml:space="preserve">Penggerakan dan Pelaksanaan Pelayanan UKM</t>
  </si>
  <si>
    <t xml:space="preserve">Pembinaan Berjenjang Pelayanan UKM</t>
  </si>
  <si>
    <t xml:space="preserve">Penguatan Pelayanan UKM dengan PIS-PK</t>
  </si>
  <si>
    <t xml:space="preserve">Penyelenggaraan UKM Esensial</t>
  </si>
  <si>
    <t xml:space="preserve">Penyelenggaraan UKM Pengembangan</t>
  </si>
  <si>
    <t xml:space="preserve">Pengawasan, Pengendalian, dan Penilaian Kinerja Pelayanan UKM</t>
  </si>
  <si>
    <t xml:space="preserve">TOTAL BAB II</t>
  </si>
  <si>
    <t xml:space="preserve">BAB III. PENYELENGGARAAN PELAYANAN UKP, FARMASI &amp; LABORATORIUM — KONTEN RESMI LENGKAP</t>
  </si>
  <si>
    <t xml:space="preserve">STANDAR 3.1  —  Penyelenggaraan Pelayanan Klinis</t>
  </si>
  <si>
    <t xml:space="preserve">3.1.1</t>
  </si>
  <si>
    <t xml:space="preserve">a) Tersedia kebijakan dan prosedur yang mengatur identifikasi dan pemenuhan kebutuhan pasien dengan risiko, kendala, dan kebutuhan khusus (R).</t>
  </si>
  <si>
    <t xml:space="preserve">Ada SK Kepala Puskesmas tentang Kebijakan identifikasi dan pemenuhan kebutuhan pasien dengan risiko, kendala, dan kebutuhan khusus, ada SOP pemenuhan Kebutuhan Pasien dengan resiko, kendala, dan kebutuhan Khusus.</t>
  </si>
  <si>
    <t xml:space="preserve">b) Pendaftaran dilakukan sesuai dengan kebijakan, pedoman, protokol kesehatan, dan prosedur yang ditetapkan dengan menginformasikan hak dan kewajiban serta memperhatikan keselamatan pasien
(R, O, W, S).</t>
  </si>
  <si>
    <t xml:space="preserve">Ada SK tentang Pelayanan Klinis (mulai dari pendaftaran sampai dengan pemulangan dan rujukan), ada SK tentang kewajiban menginformasikan hak dan kewajiban serta memperhatikan keselamatan pasien, ada SOP pendaftaran, ada SOP informed consent, ada banner Alur pelayanan, Alur pendaftaran, dan bukti Penyampaian informasi tentang hak dan kewajiban kepada pasien, ada simulasi petugas tengang  pelayanan yang memperhatikan hak dan kewajiban pasien, proses identifikasi pasien termasuk penanganan jika ditemukan kendala dalam pelayanan (misal kendala bahasa), ada hasil wawancara Penggalian informasi tentang Pemahaman petugas dalam menyampaikan informasi tentang hak dan kewajiban pasien, proses identifikasi pasien di pendaftaran, dan pemahaman pasien tentang hak dan kewajiban pasien, jenis dan jadwal pelayanan pasien</t>
  </si>
  <si>
    <t xml:space="preserve">c) Puskesmas menyediakan informasi yang jelas, mudah dipahami, dan mudah diakses tentang tarif, jenis pelayanan, proses dan alur pendaftaran, proses dan alur pelayanan, rujukan, dan ketersediaan tempat tidur untuk Puskesmas rawat inap (O, W).</t>
  </si>
  <si>
    <t xml:space="preserve">Ada bukti pemberian informasi tentang pelayanan: tarif, jenis pelayanan, alur dan proses pendaftaran, rujukan, ketersediaan tempat tidur untuk Puskesmas rawat inap baik melalui media cetak dan atau media electornik maupun secara on-line, ada hasil wawancara Penggalian informasi terkait kemudahan informasi pelayanan di Puskesmas.</t>
  </si>
  <si>
    <t xml:space="preserve">d) Persetujuan umum diminta saat pertama kali pasien masuk rawat jalan dan setiap kali masuk rawat inap (D, W).</t>
  </si>
  <si>
    <t xml:space="preserve">Ada bukti Dokumen General Concent, ada hasil wawancara Penggalian informasi tentang pemberian informasi persetujuan pasien sebelum dilakukan pelayanan.</t>
  </si>
  <si>
    <t xml:space="preserve">STANDAR 3.2  —  Pengkajian, Rencana Asuhan, dan Pemberian Asuhan</t>
  </si>
  <si>
    <t xml:space="preserve">3.2.1</t>
  </si>
  <si>
    <t xml:space="preserve">a) Dilakukan skrining dan pengkajian awal secara paripurna oleh tenaga yang kompeten untuk mengidentifikasi kebutuhan pelayanan sesuai dengan panduan praktik klinis, termasuk penangan nyeri dan dicatat dalam rekam medis (R, D, O, W).</t>
  </si>
  <si>
    <t xml:space="preserve">Ada SK pelayanan klinis tentang pengkajian, rencana asuhan, pemberian asuhan dan pendidikan pasien/keluarga, ada SOP pengkajian awal klinis (screening) yang meliputi: kajian medis, kajian penunjang medis, dan kajian keperawatan, ada SOP Penulisan Rekam Medis termasuk penulisan jika ada penanganan nyeri (lokasi nyeri), ada Hasil pengkajian awal perawat dan dokter yang dituangkan ke dalam form pengkajian skrining, ada Telaah rekam medis jika ada keluhan nyeri, ada hasil wawancara Penggalian informasi terkait skrining dan pengkajian awal secara paripurna dalam mengidentifikasi kebutuhan pasien.</t>
  </si>
  <si>
    <t xml:space="preserve">b) Dalam keadaan tertentu jika tidak tersedia tenaga medis, dapat dilakukan pelimpahan wewenang tertulis kepada perawat dan/atau bidan yang telah mengikuti pelatihan, untuk melakukan kajian awal medis dan pemberian asuhan medis sesuai dengan kewenangan delegatif yang diberikan (R, D).</t>
  </si>
  <si>
    <t xml:space="preserve">Ada SK pelimpahan wewenang, ada SOP pelimpahan wewenang, ada Dokumen kualifikasi petugas yang dilimpahkan sesuai dengan yang ditetapkan dalam Surat Keputusan Kepala Puskesmas, ada Telaah  RM  : Bukti dilakukan kajian awal medis dan pemberian asuhan medis sesuai dengan kewenangan delegatif yang diberikan.</t>
  </si>
  <si>
    <t xml:space="preserve">c) Rencana asuhan dibuat berdasarkan hasil pengkajian awal, dilaksanakan dan dipantau, serta direvisi berdasarkan hasil kajian lanjut sesuai dengan perubahan kebutuhan pasien
(D, W).</t>
  </si>
  <si>
    <t xml:space="preserve">Ada Telaah Rekam Medis, ada Bukti dilakukan asuhan pasien sesuai rencana, PPK, dan SOP. (S-O-A-P), Tidak ada pengulangan yang tidak perlu, ada hasil wawancara Penggalian informasi terkait rencana asuhan.</t>
  </si>
  <si>
    <t xml:space="preserve">d) Dilakukan asuhan pasien, termasuk jika diperlukan asuhan secara kolaboratif sesuai dengan rencana asuhan dan panduan praktik klinis dan/atau prosedur asuhan klinis agar tercatat di rekam medis dan tidak terjadi pengulangan yang tidak perlu (D, W).</t>
  </si>
  <si>
    <t xml:space="preserve">Ada Catatan Perkembangan Pasien Terintegrasi/CPPT, ada hasil wawancara Penggalian informasi tentang asuhan secara kolaboratif.</t>
  </si>
  <si>
    <t xml:space="preserve">e) Dilakukan penyuluhan/pendidikan kesehatan dan evaluasi serta tindak lanjut bagi pasien dan keluarga dengan metode yang dapat dipahami oleh pasien dan keluarga (D, O).</t>
  </si>
  <si>
    <t xml:space="preserve">Ada Bukti dilakukan pemberian penyuluhan/pendi dikan kesehatan kepada pasien/keluarga, ada Evaluasi
pemahaman pasien dan keluarga, ada Tindaklanjut sesuai hasil evaluasi, dilakukan observasi tentang Pelaksanaan penyuluhan/pend idikan kesehatan bagi pasien dan keluarga.</t>
  </si>
  <si>
    <t xml:space="preserve">f) Pasien atau keluarga pasien memperoleh informasi mengenai tindakan medis/pengobatan tertentu yang berisiko yang akan dilakukan sebelum memberikan persetujuan atau penolakan (informed consent), termasuk konsekuensi dari keputusan penolakan tersebut (D).</t>
  </si>
  <si>
    <t xml:space="preserve">Ada Dokumen Informed Concent</t>
  </si>
  <si>
    <t xml:space="preserve">STANDAR 3.3  —  Pelayanan Gawat Darurat</t>
  </si>
  <si>
    <t xml:space="preserve">3.3.1</t>
  </si>
  <si>
    <t xml:space="preserve">a) Pasien diprioritaskan atas dasar kegawatdaruratan sebagai tahap triase sesuai dengan kebijakan, pedoman dan prosedur yang ditetapkan (R, D, O, W, S).</t>
  </si>
  <si>
    <t xml:space="preserve">Ada SK tentang pelayanan klinis, ada SK tentang triase, ada Panduan Tata laksana Triase, ada SOP triase, ada SOP Penanganan gawat darurat, dilakukan observasi terhadap pelaksanaan pelayanan klinis dan triase, ada wawancara tentang Penggalian informasi terkait pelaksanaan prosedur triage, dilakukan simulasi pelaksanaan triase.</t>
  </si>
  <si>
    <t xml:space="preserve">b) Pasien gawat darurat yang perlu dirujuk ke FKRTL diperiksa dan distabilisasi terlebih dahulu sesuai dengan kemampuan Puskesmas dan dipastikan dapat diterima di FKRTL sesuai dengan kebijakan, pedoman dan prosedur yang ditetapkan (R, D, O).</t>
  </si>
  <si>
    <t xml:space="preserve">Ada SK tentang pelayanan rujukan, ada SOP Rujukan, ada Telaah rekam medis pelaksanaan stabilisasi, ada 2.Bukti pelaksanaan rujukan yang berisikan komunikasi dan SBAR sebelum rujukan, observasi selama rujukan, ada Bukti dilakukan komunikasi dengan RS rujukan, observasi terhadap proses penanganan pasien rujukan (pelaksanaan stabilisasi dan komunikasi sebelum rujukan).</t>
  </si>
  <si>
    <t xml:space="preserve">STANDAR 3.4  —  Pelayanan Anestesi Lokal dan Tindakan</t>
  </si>
  <si>
    <t xml:space="preserve">3.4.1</t>
  </si>
  <si>
    <t xml:space="preserve">a) Pelayanan anestesi lokal dilakukan oleh tenaga kesehatan yang kompeten sesuai dengan kebijakan dan prosedur (R, D, O, W).</t>
  </si>
  <si>
    <t xml:space="preserve">Ada SK tentang pelayanan anastesi, ada SOP pelayanan anastesi, ada Telaah rekam medis pasien dengan anastesi, observasi terhadap proses pelayanan anastesi oleh tenaga kesehatan (menyesuaikan kondisi di Puskesmas), ada wawancara tentang Penggalian informasi tentang pelaksanaan anestesi lokal di puskesmas.</t>
  </si>
  <si>
    <t xml:space="preserve">b) Jenis, dosis, dan teknik anestesi lokal dan pemantauan status fisiologi pasien selama pemberian anestesi lokal oleh petugas dicatat dalam rekam medis pasien (D).</t>
  </si>
  <si>
    <t xml:space="preserve">Dilakukan  Telaah rekam medis</t>
  </si>
  <si>
    <t xml:space="preserve">STANDAR 3.5  —  Pelayanan Gizi</t>
  </si>
  <si>
    <t xml:space="preserve">3.5.1</t>
  </si>
  <si>
    <t xml:space="preserve">a) Rencana asuhan gizi disusun berdasar kajian kebutuhan gizi pada pasien sesuai dengan kondisi kesehatan dan kebutuhan pasien (R, D, W).</t>
  </si>
  <si>
    <t xml:space="preserve">Ada SOP Konseling Gizi, ada SOP Kajian Kebutuhan Pasien, ada Hasil konseling gizi kepada pasien, ada Hasil kajian kebutuhan gizi pada pasien.</t>
  </si>
  <si>
    <t xml:space="preserve">b) Makanan disiapkan dan disimpan dengan cara yang baku untuk mengurangi risiko kontaminasi dan pembusukan (R, D, O, W).).</t>
  </si>
  <si>
    <t xml:space="preserve">Ada SOP Penyiapan makanan, ada SOP Penyimpanan makanan, ada Form penyimpanan makanan, ada Catatan
pemisahan makanan yang cepat membusuk, dilakukan observasi terhadap cara penyimpanan makanan.</t>
  </si>
  <si>
    <t xml:space="preserve">c) Distribusi dan pemberian makanan dilakukan sesuai dengan jadwal dan pemesanan, serta hasilnya didokumentasikan (R, D, O, W)</t>
  </si>
  <si>
    <t xml:space="preserve">Ada SOP Distribusi makanan, ada SOP Pemberian makanan, ada  Bukti dilakukan identifikasi makanan sebelum diberikan ke pasien, ada Form distribusi makan, dilakukan observasi terhadap proses distribusi dan pemberian makanan kepada pasien.</t>
  </si>
  <si>
    <t xml:space="preserve">d) Pasien dan/atau keluarga pasien diberi edukasi tentang pembatasan diet pasien dan keamanan/kebersihan makanan bila keluarga ikut menyediakan makanan bagi pasien (D).</t>
  </si>
  <si>
    <t xml:space="preserve">Ada Bukti dilakukan pemberian edukasi gizi kepada pasien dan / atau keluarga pasien jika keluarga ikut menyediakan makanan bagi pasien.</t>
  </si>
  <si>
    <t xml:space="preserve">e) Proses kolaboratif digunakan untuk merencanakan, memberikan, dan memantau pelayanan gizi (D, W).</t>
  </si>
  <si>
    <t xml:space="preserve">Ada CPPT ( Catatan Perkembangan Pasien Terintegrasi) dalam rekam medis.</t>
  </si>
  <si>
    <t xml:space="preserve">f) Respons pasien pelayanan Gizi dipantau dan dicatat dalam rekam medisnya (D).</t>
  </si>
  <si>
    <t xml:space="preserve">STANDAR 3.6  —  Pemulangan dan Tindak Lanjut Pasien</t>
  </si>
  <si>
    <t xml:space="preserve">3.6.1</t>
  </si>
  <si>
    <t xml:space="preserve">a) Dokter/dokter gigi, perawat/bidan, dan pemberi asuhan yang lain melaksanakan pemulangan, rujukan, dan asuhan tindak lanjut sesuai dengan rencana yang disusun dan kriteria pemulangan (R, D).</t>
  </si>
  <si>
    <t xml:space="preserve">Ada SK pelayanan klinis tentang kriteria pemulangan pasien gawat darurat, pasien dengan persalinan dan bayi, ada SOP pemulangan dan tindak lanjut pasien, ada dokumen Rekam medis pasien/ CPPT, resume medis pasien pulang/ dirujuk, dan catatan Tindak lanjut.</t>
  </si>
  <si>
    <t xml:space="preserve">b) Resume medis diberikan kepada pasien dan pihak yang berkepentingan saat pemulangan atau rujukan (D, O, W).</t>
  </si>
  <si>
    <t xml:space="preserve">Ada Rekam Medis, ada Telaah catatan dalam resume medis yang diberikan kepada pasien didalam rekam medis</t>
  </si>
  <si>
    <t xml:space="preserve">STANDAR 3.7  —  Pelayanan Rujukan</t>
  </si>
  <si>
    <t xml:space="preserve">3.7.1</t>
  </si>
  <si>
    <t xml:space="preserve">a) Pasien/keluarga terdekat pasien memperoleh informasi rujukan dan memberi persetujuan untuk dilakukan rujukan berdasarkan kebutuhan pasien dan kriteria rujukan untuk menjamin kelangsungan layanan ke fasilitas kesehatan yang lain (D, W).</t>
  </si>
  <si>
    <t xml:space="preserve">Ada Surat Persetujuan rujukan, ada Informed  consent.</t>
  </si>
  <si>
    <t xml:space="preserve">b) Dilakukan komunikasi dengan fasilitas kesehatan yang menjadi tujuan rujukan dan dilakukan tindakan stabilisasi terlebih dahulu kepada pasien sebelum dirujuk sesuai kondisi pasien, indikasi medis dan kemampuan dan wewenang yang dimiliki agar keselamatan pasien selama pelaksanaan rujukan dapat terjamin (D,
W).</t>
  </si>
  <si>
    <t xml:space="preserve">Ada Bukti komunikasi efektif (SBAR dan TBAK) dengan fasilitas kesehatan rujukan, ada Telaah Rekam medis (catatan stabilisasi pasien sebelum dirujuk ke FKTRL), ada Ceklist persiapan pasien rujukan.</t>
  </si>
  <si>
    <t xml:space="preserve">c) Dilakukan serah terima pasien yang disertai dengan informasi yang lengkap meliputi situation, background, assessment, recomemdation (SBAR) kepada petugas (D, W).</t>
  </si>
  <si>
    <t xml:space="preserve">Ada Resume pasien, ada Bukti serah terima pasien yang dilengkapi dengan SBAR, stempel FKTRL serta nama petugas yang menerima rujukan, ada  Surat  Rujukan dan form monitoring selama rujukan</t>
  </si>
  <si>
    <t xml:space="preserve">3.7.2</t>
  </si>
  <si>
    <t xml:space="preserve">a) Dokter/dokter gigi penangggung jawab pelayanan melakukan kajian ulang kondisi medis sebelum menindaklanjuti umpan balik dari FKRTL sesuai dengan kebijakan dan prosedur yang ditetapkan (R, D, O).</t>
  </si>
  <si>
    <t xml:space="preserve">Ada SK tentang rujuk balik, ada SOP Rujuk Balik, ada SOP Kajian ulang kondisi pasien rujuk balik FKTRL dan tindak lanjut, ada Telaah rekam medis/CPPT yang berisi kajian ulang oleh dokter/ dokter gigi tentang kondisi pasien program rujuk balik, ada Surat rujuk balik dari RS, ada observasi  terhadap pelaksanaan pengkajian ulang kondisi pasien program rujuk balik.</t>
  </si>
  <si>
    <t xml:space="preserve">b) Dokter/dokter gigi penanggung jawab pelayanan melakukan tindak lanjut terhadap rekomendasi umpan balik rujukan sesuai dengan kebijakan dan prosedur yang ditetapkan (D, O, W).</t>
  </si>
  <si>
    <t xml:space="preserve">Ada Telaah rekam medis/CPPT tentang tindak lanjut rekomendasi umpan balik rujukan, dilakukan observasi terhadap pelaksanaan tindak lanjut terhadap rekomendasi umpan balik rujukan.</t>
  </si>
  <si>
    <t xml:space="preserve">c) Pemantauan dalam proses rujukan balik harus dicatat dalam formulir pemantauan (D).</t>
  </si>
  <si>
    <t xml:space="preserve">Ada Hasil pelaksanaan monitoring proses rujukan balik dalam CPPT.</t>
  </si>
  <si>
    <t xml:space="preserve">STANDAR 3.8  —  Penyelenggaraan Rekam Medis</t>
  </si>
  <si>
    <t xml:space="preserve">3.8.1</t>
  </si>
  <si>
    <t xml:space="preserve">a) Penyelenggaraan rekam medis dilakukan secara berurutan dari sejak pasien masuk sampai pasien pulang, dirujuk, atau meninggal meliputi kegiatan: (1) registrasi pasien;
(2) pendistribusian rekam medis;
(3) isi rekam medis dan pengisian informasi klinis;
(4) pengolahan data dan pengkodean;
(5) klaim pembiayaan;
(6) penyimpanan rekam medis;
(7) penjaminan mutu;
(8) pelepasan informasi kesehatan;
(9) pemusnahan rekam medis; dan
(10) termasuk riwayat alergi obat,
dilakukan sesuai dengan kebijakan dan prosedur yang ditetapkan (R, D, O, W).</t>
  </si>
  <si>
    <t xml:space="preserve">Ada SK penyelenggaraan rekam medis, ada SK tentang akses rekam medis, ada SOP pelayanan rekam medis, ada SOP pengisian rekam medis, ada Rekam Medis, Kelengkapan rekam medis, Singkatan yang boleh dan tidak boleh	dipakai dalam	rekam medis, Penulisan  Riwayat alergi pasien  pada rekam medis, ada berita acara pemusnahan rekam medis, sesuai ketentuan peraturan perundang-undangan, ada observasi terhadap penyelenggaraan rekam medis di Puskesmas.</t>
  </si>
  <si>
    <t xml:space="preserve">b) Rekam medis diisi secara lengkap dan dengan tulisan yang terbaca serta harus dibubuhi nama, waktu pemeriksanaan, dan tanda tangan dokter, dokter gigi dan/atau tenaga kesehatan yang melaksanakan pelayanan kesehatan perseorangan; apabila ada kesalahan dalam melakukan pencatatan di rekam medis, dilakukan koreksi sesuai dengan ketentuan peraturan perundang-undangan (D, O, W).</t>
  </si>
  <si>
    <t xml:space="preserve">Ada Telaah rekam medis, dilakukan observasi terhadap pengisian rekam medis, ada wawancara Penggalian informasi tentang pengisian rekam medis.</t>
  </si>
  <si>
    <t xml:space="preserve">STANDAR 3.9  —  Penyelenggaraan Pelayanan Laboratorium</t>
  </si>
  <si>
    <t xml:space="preserve">3.9.1</t>
  </si>
  <si>
    <t xml:space="preserve">a) Kepala Puskesmas menetapkan nilai normal, rentang nilai rujukan untuk setiap jenis pemeriksaan yang disediakan, dan nilai kritis pemeriksaan laboratorium (R).</t>
  </si>
  <si>
    <t xml:space="preserve">Ada SK jenis pelayanan laboratorium, ada SK tentang rentang nilai normal laboratorium, ada SK tentang nilai
kritis laboratorium, ada SOP – SOP terkait pelayanan laboratorium dan pengelolaan limbah.</t>
  </si>
  <si>
    <t xml:space="preserve">b) Reagensia esensial dan bahan lain tersedia sesuai dengan jenis pelayanan yang ditetapkan, pelabelan, dan penyimpanannya, termasuk proses untuk menyatakan jika reagen tidak tersedia (R, D, W).</t>
  </si>
  <si>
    <t xml:space="preserve">Ada SOP pelabelan reagen esensial dan bahan lain, ada SOP penyimpanan reagen esensial dan bahan lain, ada SOP Bahan Medis Habis pakai (bahan dan alatnya), ada Material Safety Data Sheet (MSDS) tiap reagen, ada Bukti penyimpanan dan pelabelan reagensia sesuai dengan regulasi (check list), ada Bukti perhitungan kebutuhan reagensia termasuk buffer stock, ada Bukti pemesanan reagensia, ada Check list monev ketersediaan reagensia, ada Bukti penyampaian pelayanan laboratorum jika reagen tidak tersedia.</t>
  </si>
  <si>
    <t xml:space="preserve">c) Penyelenggaraan pelayanan laboratorium, yang meliputi (1) sampai dengan (9), dilaksanakan sesuai dengan kebijakan dan prosedur yang ditetapkan (R, D, O, W).</t>
  </si>
  <si>
    <t xml:space="preserve">Ada SOP jika terjadi tumpahan reagen dan pajanan petugas, ada SOP pelayanan laboratorium meliputi angka  1 s.d. 9 sesuai pokok pikiran yaitu: (1)jenis-jenis pelayanan laboratorium yang disediakan sesuai dengan kebutuhan masyarakat dan kemampuan Puskesmas;(2)waktu penyerahan hasil pemeriksaan laboratorium; (3pemeriksaan laboratorium yang berisiko tinggi; (4) permintaan pemeriksaan, penerimaan specimen, pengambilan, dan penyimpanan spesimen; (5) pelayanan pemeriksaan di luar jam kerja pada Puskesmas rawat inap atau puskesmas yang menyediakan pelayanan di luar jam kerja; (6) pemeriksaan  laboratorium; (7)kesehatan dan keselamatan kerja  dalam pelayanan laboratorium;
(8) penggunaan alat pelindung diri; dan (9)pengelolaan reagen, ada Bukti pelaksanaan pelayanan laboratorium meliputi angka 1 s.d. 9</t>
  </si>
  <si>
    <t xml:space="preserve">d) Pemantapan mutu internal dan pemantapan mutu eksternal dilakukan terhadap pelayanan laboratorium sesuai dengan ketentuan peraturan perundang-undangan dan dilakukan perbaikan jika terjadi penyimpangan (R, D, O, W).</t>
  </si>
  <si>
    <t xml:space="preserve">Ada SK tentang pelaksanaan PMI dan PME, ada SOP Pemantapan Mutu Internal, ada SOP Pemantapan Mutu Eksternal, ada Bukti pelaksanaan PMI dan PME, ada Bukti pelaksanaan perbaikan bila terjadi penyimpangan.</t>
  </si>
  <si>
    <t xml:space="preserve">e) Evaluasi dan tindak lanjut dilakukan terhadap waktu pelaporan hasil pemeriksaan laboratorium (D, W).</t>
  </si>
  <si>
    <t xml:space="preserve">Ada Bukti hasil evaluasi terhadap waktu pelaporan hasil pemeriksaan laboratorium, ada Bukti Hasil tindaklanjut dari pelaksanaan evaluasi.</t>
  </si>
  <si>
    <t xml:space="preserve">STANDAR 3.10  —  Penyelenggaraan Pelayanan Kefarmasian</t>
  </si>
  <si>
    <t xml:space="preserve">3.10.1</t>
  </si>
  <si>
    <t xml:space="preserve">a) Tersedia daftar formularium obat puskesmas (D).</t>
  </si>
  <si>
    <t xml:space="preserve">Ada Formularium Obat Puskesmas, ada Bukti
Penyusunan Formularium Obat</t>
  </si>
  <si>
    <t xml:space="preserve">b) Dilakukan pengelolaan sediaan farmasi dan bahan medis habis pakai oleh tenaga kefarmasian sesuai dengan pedoman dan prosedur yang telah ditetapkan (R, D, O, W).</t>
  </si>
  <si>
    <t xml:space="preserve">Ada SK tentang pelayanan kefarmasian, ada  SOP tentang pengelolaan sediaan farmasi dan bahan habis pakai, ada LPLPO serta bukti pengawasan pengelolaan dan penggunaan obat oleh Dinas Kesehatan, ada  Bukti penerimaan obat dan kartu stok obat, ada Bukti penanganan obat kadaluarsa, ada Bukti
penyimpanan obat FIFO, FEFO.</t>
  </si>
  <si>
    <t xml:space="preserve">c) Dilakukan rekonsiliasi obat dan pelayanan farmasi klinik oleh tenaga kefarmasian sesuai dengan prosedur yang telah ditetapkan (R, D, O, W).</t>
  </si>
  <si>
    <t xml:space="preserve">Ada SOP rekonsiliasi obat, ada SOP pelayanan farmasi klinik, ada Bukti rekonsiliasi obat, ada Bukti asuhan farmasi dalam CPPT rekam medis.</t>
  </si>
  <si>
    <t xml:space="preserve">d) Dilakukan kajian resep dan pemberian obat dengan benar pada setiap pelayanan pemberian obat (R, D, O, W)</t>
  </si>
  <si>
    <t xml:space="preserve">Ada SOP kajian resep dan pemberian obat, ada Bukti kajian/telaah resep.</t>
  </si>
  <si>
    <t xml:space="preserve">e) Dilakukan edukasi kepada setiap pasien tentang indikasi dan cara penggunaan obat (R, D, O, W).</t>
  </si>
  <si>
    <t xml:space="preserve">Ada SOP pemberian informasi obat (PIO), ada Bukti pelaksaaan PIO.</t>
  </si>
  <si>
    <t xml:space="preserve">f) Obat gawat darurat tersedia pada unit yang diperlukan dan dapat diakses untuk memenuhi kebutuhan yang bersifat gawat darurat, lalu dipantau dan diganti tepat waktu setelah digunakan atau jika kedaluwarsa ( R, D, O, W).</t>
  </si>
  <si>
    <t xml:space="preserve">Ada SOP penyediaan dan penyimpanan obat gawat darurat, ada SOP pemantauan/ monitoring obat gawat darurat secara berkala, ada Bukti penyediaan obat emergensi serta monitoringnya.</t>
  </si>
  <si>
    <t xml:space="preserve">g) Dilakukan evaluasi dan tindak lanjut terhadap ketersediaan obat dan kesesuaian peresepan dengan formularium (D, W).</t>
  </si>
  <si>
    <t xml:space="preserve">Ada Bukti evaluasi ketersediaan obat dan kesesuaian peresepan dengan formularium, ada Bukti hasil tindaklanjut dari pelaksanaan evaluasi obat dan kesesuaian peresepan dengan formularium.</t>
  </si>
  <si>
    <t xml:space="preserve">RINGKASAN CAPAIAN BAB III</t>
  </si>
  <si>
    <t xml:space="preserve">Penyelenggaraan Pelayanan Klinis</t>
  </si>
  <si>
    <t xml:space="preserve">Pengkajian, Rencana Asuhan, dan Pemberian Asuhan</t>
  </si>
  <si>
    <t xml:space="preserve">Pelayanan Gawat Darurat</t>
  </si>
  <si>
    <t xml:space="preserve">Pelayanan Anestesi Lokal dan Tindakan</t>
  </si>
  <si>
    <t xml:space="preserve">Pelayanan Gizi</t>
  </si>
  <si>
    <t xml:space="preserve">Pemulangan dan Tindak Lanjut Pasien</t>
  </si>
  <si>
    <t xml:space="preserve">Pelayanan Rujukan</t>
  </si>
  <si>
    <t xml:space="preserve">Penyelenggaraan Rekam Medis</t>
  </si>
  <si>
    <t xml:space="preserve">Penyelenggaraan Pelayanan Laboratorium</t>
  </si>
  <si>
    <t xml:space="preserve">Penyelenggaraan Pelayanan Kefarmasian</t>
  </si>
  <si>
    <t xml:space="preserve">TOTAL BAB III</t>
  </si>
  <si>
    <t xml:space="preserve">BAB IV. PROGRAM PRIORITAS NASIONAL — KONTEN RESMI LENGKAP</t>
  </si>
  <si>
    <t xml:space="preserve">STANDAR 4.1  —  Pencegahan dan Penurunan Stunting</t>
  </si>
  <si>
    <t xml:space="preserve">4.1.1</t>
  </si>
  <si>
    <t xml:space="preserve">a) Ditetapkan indikator dan target kinerja stunting dalam rangka mendukung program pencegahan dan penurunan, yang disertai capaian dan analisisnya (R, D, W).</t>
  </si>
  <si>
    <t xml:space="preserve">Ada SK Indikator kinerja dan target terkait pencegahan dan penurunan stunting yang merupakan bagian dari indikator kinerja pelayanan UKM di bab II, ada Bukti pencapaian indikator stunting yang disertai dengan analisisnya.</t>
  </si>
  <si>
    <t xml:space="preserve">b) Ditetapkan program pencegahan dan penurunan stunting. (R, W)</t>
  </si>
  <si>
    <t xml:space="preserve">Ada RUK dan RPK terkait dengan kegiatan pencegahan dan penanggulangan stunting yang terintegrasi dengan RUK dan RPK pelayanan UKM Gizi, ada RPK Bulanan kegiatan pencegahan dan penanggulangan stunting, ada KAK terkait dengan kegiatan pencegahan dan penanggulangan stunting.</t>
  </si>
  <si>
    <t xml:space="preserve">c) Dikoordinasikan dan dilaksanakan kegiatan pencegahan dan penurunan stunting dalam bentuk intervensi gizi spesifik dan sensitif sesuai dengan rencana yang disusun bersama lintas program dan lintas sektor sesuai dengan kebijakan, prosedur, dan kerangka acuan yang telah ditetapkan (R, D, W).</t>
  </si>
  <si>
    <t xml:space="preserve">Ada SK tentang media komunikasi dan koordinasi di Puskesmas (lihat bab I), ada SOP komunikasi dan koordinasi di Puskesmas (lihat bab II), ada Bukti koordinasi kegiatan pencegahan dan penurunan stunting sesuai dengan regulasi yang ditetapkan di Puskesmas, ada Bukti hasil pelaksanaan kegiatan sesuai dengan RPK dan RPKB, dan mengacu pada SK, SOP dan KAK yang ditetapkan. (lihat dokumen regulasi
pada EP b).</t>
  </si>
  <si>
    <t xml:space="preserve">d) Dilakukan pemantauan, evaluasi, dan tindak lanjut terhadap pelaksanaan program pencegahan dan penurunan stunting (D, W)..</t>
  </si>
  <si>
    <t xml:space="preserve">Ada Jadwal, ada pemantauan dan evaluasi, ada Hasil pemantauan dan evaluasi sesuai dengan jadwal, ada bukti hasil tindaklanjut dari pelaksanaan pemantauan dan evaluasi,</t>
  </si>
  <si>
    <t xml:space="preserve">Ada SK tentang Pencatatan dan Pelaporan, ada SOP pencatatan dan pelaporan (lihat di bab I), ada Bukti pencatatan kasus stunting di Puskesmas, ada kasus stunting kepada Kepala Puskesmas sesuai mekanisme yang telah ditetapkan, ada Bukti pelaporan kasus stunting di Puskesmas kepada Dinas Kesehatan sesuai dengan regulasi yang ditetapkan.</t>
  </si>
  <si>
    <t xml:space="preserve">STANDAR 4.2  —  Penurunan Jumlah Kematian Ibu dan Jumlah Kematian Bayi</t>
  </si>
  <si>
    <t xml:space="preserve">4.2.1</t>
  </si>
  <si>
    <t xml:space="preserve">a) Ditetapkannya indikator dan target kinerja dalam rangka penurunan jumlah kematian ibu dan jumlah kematian bayi yang disertai capaian dan analisisnya (R, D, W).</t>
  </si>
  <si>
    <t xml:space="preserve">Ada SK indikator kinerja pelayanan ibu dan bayi yang merupakan bagian dari indikator &amp; target kinerja pelayanan UKM di bab II, ada Bukti pencapaian indikator kinerja dalam rangka penurunan jumlah kematian ibu dan jumlah kematian bayi yang disertai analisisnya.</t>
  </si>
  <si>
    <t xml:space="preserve">b) Ditetapkan program penurunan jumlah kematian ibu dan jumlah kematian bayi (R, W).</t>
  </si>
  <si>
    <t xml:space="preserve">Ada RUK dan RPK terkait dengan kegiatan program penurunan jumlah kematian ibu dan jumlah kematian
bayi yang terintegrasi dengan RUK dan RPK pelayanan UKM Kesehatan Ibu dan Anak, ada RPK Bulanan program penurunan jumlah  kematian ibu dan jumlah kematian bayi, ada KAK terkait program penurunan jumlah kematian ibu dan jumlah kematian bayi.</t>
  </si>
  <si>
    <t xml:space="preserve">c) Tersedia alat, obat, bahan habis pakai dan prasarana pendukung pelayanan kesehatan ibu dan bayi baru lahir termasuk standar alat kegawatdaruratan maternal dan neonatal sesuai dengan standar dan dikelola sesuai dengan prosedur (R, D, O, W).</t>
  </si>
  <si>
    <t xml:space="preserve">Ada SOP ketersediaan obat, bahan habis pakai dan
prasarana pendukung pelayanan kesehatan ibu dan bayi baru lahir, ada  SOP pelayanan kegawatdaruratan maternal dan neonatal, ada Bukti pengelolaan alat, obat, bahan habis pakai dan prasarana pendukung pelayanan kesehatan ibu dan bayi baru lahir, termasuk alat kegawatdaruratan maternal dan neonatal.</t>
  </si>
  <si>
    <t xml:space="preserve">d) Dilakukan pelayanan kesehatan pada masa hamil, masa persalinan, masa sesudah melahirkan, dan pada bayi baru lahir sesuai dengan prosedur yang ditetapkan; ditetapkan kewajiban penggunaan partograf pada saat pertolongan persalinan dan upaya stabilisasi prarujukan pada kasus komplikasi, termasuk pelayanan pada Puskesmas mampu PONED, sesuai dengan kebijakan, pedoman/panduan, prosedur, dan kerangka acuan yang telah ditetapkan (R, D, W).</t>
  </si>
  <si>
    <t xml:space="preserve">Ada SK Puskesmas PONED (jika Puskesmas
ditetapkan sebagai Puskesmas PONED), ada SOP pelayanan ANC, ada SOP pelayanan persalinan, ada SOP pelayanan sesudah melahirkan, ada SOP pelayanan bayi baru lahir, ada SOP Pengisian Partograf, ada SOP Stabilisasi prarujukan (lihat di bab III), ada Bukti pelaksanaan Pemberian pelayanan ANC, ada bukti pemberian pelayanan Persalinan, Pelayanan sesudah melahirkan, Pelayanan bayi baru lahir, Pengisian partograf, dan Bukti stabilisasi prarujukan pada kasus komplikasi.</t>
  </si>
  <si>
    <t xml:space="preserve">e) Dikoordinasikan dan dilaksanakan program penurunan jumlah kematian ibu dan jumlah kematian bayi sesuai dengan regulasi dan rencana kegiatan yang disusun bersama lintas program dan lintas sektor (R, D, W).</t>
  </si>
  <si>
    <t xml:space="preserve">Ada SK tentang media komunikasi dan koordinasi di Puskesmas. (lihat bab I), ada 	SOP komunikasi dan koordinasi (lihat bab II), ada Bukti koordinasi pelaksanaan program penurunan jumlah kematian ibu dan jumlah kematian bayi, ada Bukti hasil pelaksanaan kegiatan sesuai dengan RPK dan RPKB, serta mengacu pada SK, SOP dan KAK yang ditetapkan. (lihatdokumen regulasi pada EP b).</t>
  </si>
  <si>
    <t xml:space="preserve">f) Dilakukan pemantauan, evaluasi, dan tindak lanjut terhadap pelaksanaan program penurunan jumlah kematian ibu dan jumlah kematian bayi termasuk pelayanan kesehatan pada masa hamil, persalinan dan pada bayi baru lahir di Puskesmas (D, W).</t>
  </si>
  <si>
    <t xml:space="preserve">Ada Jadwal pemantauan dan evaluasi, ada Hasil pemantauan dan evaluasi sesuai dengan jadwal, ada Bukti hasil tindaklanjut dari pelaksanaan pemantauan dan evaluasi</t>
  </si>
  <si>
    <t xml:space="preserve">g) Dilaksanakan pencatatan, lalu dilakukan pelaporan kepada kepala puskesmas dan dinas kesehatan daerah kabupaten/kota sesuai dengan prosedur yang telah ditetapkan (R, D, W).</t>
  </si>
  <si>
    <t xml:space="preserve">Ada SK tentang Pencatatan dan Pelaporan, ada SOP pencatatan dan pelaporan Catatan: SK dan SOP pencatatan dan pelaporan lihat di bab I, Bukti pencatatan jumlah kematian ibu dan jumlah kematian bayi di Puskesmas, ada Bukti pelaporan jumlah kematian ibu dan jumlah kematian bayi kepada Kepala Puskesmas sesuai mekanisme yang telah ditetapkan, ada Bukti jumlah kematian ibu dan jumlah kematian bayi di Puskesmas kepada Dinas Kesehatan sesuai dengan regulasi yang ditetapkan, Catatan: Pencatatan pelaporan mengikuti regulasi saat ini.</t>
  </si>
  <si>
    <t xml:space="preserve">STANDAR 4.3  —  Peningkatan Cakupan dan Mutu Imunisasi</t>
  </si>
  <si>
    <t xml:space="preserve">4.3.1</t>
  </si>
  <si>
    <t xml:space="preserve">a) Ditetapkan indikator dan target kinerja program imunisasi yang disertai capaian dan analisisnya (R, D, W).</t>
  </si>
  <si>
    <t xml:space="preserve">Ada Indikator dan target kinerja imunisasi yang merupakan bagian dari indikator kinerja pelayanan UKM di bab II, ada Bukti pencapaian indikator kinerja pelayanan imunisasi yang disertai dengan analisisnya.</t>
  </si>
  <si>
    <t xml:space="preserve">b) Ditetapkan program Imunisasi.  (R)</t>
  </si>
  <si>
    <t xml:space="preserve">Ada RUK dan RPK terkait dengan kegiatan program imunisasi yang terintegrasi dengan RUK dan RPK pelayanan P2, ada RPK Bulanan program imunisasi, ada KAK terkait program imunisasi.</t>
  </si>
  <si>
    <t xml:space="preserve">c) Tersedia vaksin dan logistik sesuai dengan kebutuhan program imunisai. (R, D, O, W)</t>
  </si>
  <si>
    <t xml:space="preserve">Ada SOP penyediaan kebutuhan vaksin dan logistik, ada Bukti pengelolaan vaksin dan logistiknya.</t>
  </si>
  <si>
    <t xml:space="preserve">d) Dilakukan pengelolaan vaksin untuk memastikan rantai vaksin dikelola sesuai dengan prosedur. (R, D, O, W)</t>
  </si>
  <si>
    <t xml:space="preserve">Ada SOP penyimpanan vaksin, ada SOP pemantauan suhu vaksin dan kondisi vaksin, Bukti pemantauan suhu vaksin, ada Bukti pengecekkan kondisi vaksin, ada Bukti kalibrasi terhadap alat ukur suhu vaksin.</t>
  </si>
  <si>
    <t xml:space="preserve">e) Kegiatan peningkatan cakupan dan mutu imunisasi dikoordinasikan dan dilaksanakan sesuai dengan rencana dan prosedur yang telah ditetapkan bersama secara lintas program dan lintas sektor sesuai dengan kebijakan, pedoman/panduan, prosedur dan kerangka acuan yang telah ditetapkan (R, D, W).</t>
  </si>
  <si>
    <t xml:space="preserve">Ada SK tentang media komunikasi dan koordinasi di Puskesmas. (lihat bab I), ada 	SOP komunikasi dan koordinasi (lihat bab II), ada Bukti koordinasi kegiatan peningkatan cakupan dan mutu imunisasi, ada Bukti hasil pelaksanaan kegiatan sesuai dengan RPK dan RPKB, serta mengacu pada SK,  SOP  dan  KAK yang ditetapkan. (lihat dokumen regulasi pada EP b).</t>
  </si>
  <si>
    <t xml:space="preserve">f) Dilakukan pemantauan dan evaluasi serta tindak lanjut upaya perbaikan program imunisasi (D, W).</t>
  </si>
  <si>
    <t xml:space="preserve">g) Dilaksanakan pencatatan dan dilakukan pelaporan kepada kepala puskesmas dan dinas kesehatan daerah kabupaten/kota sesuai dengan prosedur yang telah ditetapkan (R, D, W).</t>
  </si>
  <si>
    <t xml:space="preserve">Ada SK tentang Pencatatan dan pelaporan, ada SOP pencatatan dan pelaporan,  Catatan: SK dan SOP pencatatan dan pelaporan lihat di bab I, ada Bukti pencatatan program imunisasi di Puskesmas, ada Bukti pelaporan program imunisasi kepada Kepala Puskesmas sesuai mekanisme yang telah ditetapkan. ada Bukti pelaporan program imuniasi Puskesmas kepada Dinas Kesehatan sesuai dengan regulasi yang ditetapkan, Catatan: Pencatatan pelaporan mengikuti regulasi saat ini (e- SMILE dan ASIK)</t>
  </si>
  <si>
    <t xml:space="preserve">STANDAR 4.4  —  Program Penanggulangan Tuberkulosis</t>
  </si>
  <si>
    <t xml:space="preserve">4.4.1</t>
  </si>
  <si>
    <t xml:space="preserve">a) Ditetapkan indikator dan target kinerja penanggulangan tuberkulosis yang disertai capaian dan analisisny. (R, D, W).</t>
  </si>
  <si>
    <t xml:space="preserve">Ada SK indikator dan target kinerja Tuberkulosis yang merupakan bagian dari indikator &amp; target kinerja pelayanan UKM di bab II, ada Bukti pencapaian indikator kinerja pelayanan tuberkulosis yang disertai dengan analisisnya.</t>
  </si>
  <si>
    <t xml:space="preserve">b) Ditetapkan rencana program penanggulangan tuberkulosis (R).</t>
  </si>
  <si>
    <t xml:space="preserve">Ada RUK dan RPK terkait dengan kegiatan program penanggulangan tuberkulosis yang terintegrasi dengan RUK dan RPK pelayanan P2P, ada RPK Bulanan program penanggulangan tuberkulosis, ada KAK terkait program penanggulangan tuberculosis.</t>
  </si>
  <si>
    <t xml:space="preserve">c) Ditetapkan tim TB DOTS di Puskesmas yang terdiri dari dokter, perawat, analis laboratorium dan petugas pencatatan pelaporan terlatih (R)</t>
  </si>
  <si>
    <t xml:space="preserve">Ada SK Kepala Puskesmas ttg penunjukan Tim  TB DOTS di Puskesmas.</t>
  </si>
  <si>
    <t xml:space="preserve">d) Tersedia logistik, baik OAT maupun non-OAT, sesuai dengan kebutuhan program serta dikelola sesuai dengan prosedur (R, D, O, W).</t>
  </si>
  <si>
    <t xml:space="preserve">Ada SOP perhitungan kebutuhan logistik OAT dan Non OAT, ada SOP pengelolaan OAT dan non OAT, ada Bukti perhitungan kebutuhan OAT dan non OAT sesuai dengan SOP yang ditetapkan.</t>
  </si>
  <si>
    <t xml:space="preserve">e) Dilakukan tata laksana kasus tuberkulosis mulai dari diagnosis, pengobatan, pemantauan, evaluasi, dan tindak lanjut sesuai dengan kebijakan, pedoman/panduan, dan prosedur yang telah ditetapkan ( R, D, O, W).</t>
  </si>
  <si>
    <t xml:space="preserve">Ada SOP tata laksana kasus tuberkulosis, dilakukan Telaah rekam medis pasien TB.</t>
  </si>
  <si>
    <t xml:space="preserve">f) Dikoordinasikan dan dilaksanakan program penanggulangan tuberkulosis sesuai dengan rencana yang disusun bersama secara lintas program dan lintas sektor (R, D, W).</t>
  </si>
  <si>
    <t xml:space="preserve">Ada SK tentang media komunikasi dan koordinasi di Puskesmas. (lihat bab I), ada SOP komunikasi dan koordinasi (lihat bab II), ada Bukti koordinasi kegiatan peningkatan program penanggulangan tuberkulosis, ada Bukti hasil pelaksanaan kegiatan sesuai dengan RPK dan RPKB, serta mengacu pada  SK, SOP dan KAK yang ditetapkan. (Lihat dokumen regulasi pada EP b).</t>
  </si>
  <si>
    <t xml:space="preserve">g) Dilakukan pemantauan dan evaluasi serta tindak lanjut upaya perbaikan program penanggulangan tuberculosis (D, W).</t>
  </si>
  <si>
    <t xml:space="preserve">Ada Jadwal pemantauan dan evaluasi, ada Hasil pemantauan dan evaluasi sesuai dengan jadwal, ada Bukti hasil tindaklanjut dari pelaksanaan pemantauan dan evaluasi.</t>
  </si>
  <si>
    <t xml:space="preserve">h) Dilaksanakan pencatatan dan dilakukan pelaporan kepada kepala puskesmas, dinas kesehatan daerah kabupaten/kota sesuai dengan prosedur yang telah ditetapkan (R, D,W).</t>
  </si>
  <si>
    <t xml:space="preserve">Ada SK tentang Pencatatan dan Pelaporan, ada SOP pencatatan dan pelaporan Catatan: SK dan SOP pencatatan dan pelaporan lihat di bab I, ada Bukti pencatatan kasus TB di Pukesmas, ada Bukti pelaporan kasus TB kepada Kepala Puskesmas sesuai mekanisme yang telah ditetapkan, ada Bukti pelaporan kasus TB Puskesmas kepada Dinas Kesehatan sesuai dengan regulasi yang ditetapkan, Untuk pencatatan pelaporan kasus TB melalui aplikasi SITB.</t>
  </si>
  <si>
    <t xml:space="preserve">STANDAR 4.5  —  Pengendalian Penyakit Tidak Menular dan Faktor Risikonya</t>
  </si>
  <si>
    <t xml:space="preserve">4.5.1</t>
  </si>
  <si>
    <t xml:space="preserve">a) Ditetapkan indikator kinerja pengendalian penyakit tidak menular yang disertai capaian dan analisisnya (R, D, W).</t>
  </si>
  <si>
    <t xml:space="preserve">Ada SK indikator dan target kinerja PTM yang merupakan  bagian dari indikator &amp; target kinerja  pelayanan UKM di bab II, ada Bukti pencapaian indikator kinerja PTM yang disertai dengan analisisnya.</t>
  </si>
  <si>
    <t xml:space="preserve">b) Ditetapkan program pengendalian Penyakit Tidak Menular termasuk rencana peningkatan kapasitas tenaga terkait P2PTM (R, W).</t>
  </si>
  <si>
    <t xml:space="preserve">Ada RUK dan RPK terkait dengan kegiatan program pengendalian Penyakit Tidak Menular yang terintegrasi dengan RUK dan RPK pelayanan P2, ada RPK Bulanan program pengendalian Penyakit Tidak Menular, ada KAK terkait program pengendalian Penyakit Tidak Menular,</t>
  </si>
  <si>
    <t xml:space="preserve">c) Kegiatan pengendalian penyakit tidak menular dikoordinasikan dan dilaksanakan sesuai dengan rencana yang telah disusun bersama Lintas program dan Lintas Sektor sesuai dengan kebijakan, pedoman/panduan, prosedur dan kerangka acuan yang telah ditetapkan (R, D, W).</t>
  </si>
  <si>
    <t xml:space="preserve">Ada SK tentang media komunikasi dan koordinasi di Puskesmas. (lihat bab I), ada SOP  komunikasi dan koordinasi lihat bab II), ada Bukti koordinasi kegiatan peningkatan program pengendalian Penyakit Tidak menular, ada Bukti hasil pelaksanaan kegiatan sesuai dengan RPK dan RPKB, serta mengacu pada SK, SOP dan KAK yang ditetapkan. (lihat dokumen regulasi pada EP b).</t>
  </si>
  <si>
    <t xml:space="preserve">d) Diselenggarakan tahapan kegiatan dan pemeriksaan PTM di Posbindu sesuai dengan ketentuan yang berlaku (R, D, O, W).</t>
  </si>
  <si>
    <t xml:space="preserve">Ada SK tentang pemeriksaan PTM di Posbindu, ada SOP terkait kegiatan PTM di Posbindu, ada Bukti pelaksanaan PTM di Posbindu</t>
  </si>
  <si>
    <t xml:space="preserve">e) Dilakukan tata laksana Penyakit Tidak Menular secara terpadu mulai dari diagnosis, pengobatan, pemantauan, evaluasi, dan tindak lanjut sesuai dengan panduan praktik klinis dan algoritma pelayanan PTM oleh tenaga kesehatan yang berkompeten ( D, O, W).</t>
  </si>
  <si>
    <t xml:space="preserve">Dilakukan  Telaah rekam medis terkait tata laksana PTM secara terpadu terhadap pasien</t>
  </si>
  <si>
    <t xml:space="preserve">f) Dilakukan pemantauan, evaluasi, dan tindak lanjut terhadap pelaksanaan program pengendalian penyakit tidak menular (D, W).</t>
  </si>
  <si>
    <t xml:space="preserve">g) Dilaksanakan pencatatan, dan dilakukan pelaporan kepada kepala puskesmas dan dinas kesehatan daerah kabupaten/kota sesuai dengan prosedur yang telah ditetapkan (R, D, W).</t>
  </si>
  <si>
    <t xml:space="preserve">Ada SK tentang Pencatatan dan Pelaporan, ada SOP pencatatan dan pelaporan Catatan: SK dan SOP pencatatan dan pelaporan lihat di bab I, ada   Bukti pencatatan kasus PTM di Puskesmas, ada Bukti pelaporan kasus PTM kepada Kepala Puskesmas sesuai mekanisme yang telah ditetapkan, ada Bukti pelaporaan kasus PTM Puskesmas kepada Dinas Kesehatan. sesuai dengan regulasi yang ditetapakan, Pencatatan pelaporan kasus PTM menggunakan aplikasi ASIK.</t>
  </si>
  <si>
    <t xml:space="preserve">RINGKASAN CAPAIAN BAB IV</t>
  </si>
  <si>
    <t xml:space="preserve">Pencegahan dan Penurunan Stunting</t>
  </si>
  <si>
    <t xml:space="preserve">Penurunan Jumlah Kematian Ibu dan Jumlah Kematian Bayi</t>
  </si>
  <si>
    <t xml:space="preserve">Peningkatan Cakupan dan Mutu Imunisasi</t>
  </si>
  <si>
    <t xml:space="preserve">Program Penanggulangan Tuberkulosis</t>
  </si>
  <si>
    <t xml:space="preserve">Pengendalian Penyakit Tidak Menular dan Faktor Risikonya</t>
  </si>
  <si>
    <t xml:space="preserve">TOTAL BAB IV</t>
  </si>
  <si>
    <t xml:space="preserve">BAB V. PENINGKATAN MUTU PUSKESMAS (PMP) — KONTEN RESMI LENGKAP</t>
  </si>
  <si>
    <t xml:space="preserve">STANDAR 5.1  —  Peningkatan Mutu Berkesinambungan</t>
  </si>
  <si>
    <t xml:space="preserve">5.1.1</t>
  </si>
  <si>
    <t xml:space="preserve">a) Kepala Puskesmas membentuk tim mutu sesuai dengan persyaratan dilengkapi dengan uraian tugas, dan menetapkan program peningkatan mutu (R, W).</t>
  </si>
  <si>
    <t xml:space="preserve">Ada SK Tim peningkatan mutu dengan susunan keanggotaan terdiri dari : para koordinator Keselamatan Pasien (KP), PPI, Manajemen Risiko (MR), koordnator K3 dan seterusnya sesuai kebutuhan dan  dilengkapi uraian tugas yang terintegrasi dengan SK penanggung jawab Puskesmas, ada Program peningkatan mutu yang terintegrasi dalam RUK Puskesmas, ada Kerangka acuan kegiatan.</t>
  </si>
  <si>
    <t xml:space="preserve">b) Puskesmas bersama tim mutu mengimplementasikan dan mengevaluasi program peningkatan mutu (D, W).</t>
  </si>
  <si>
    <t xml:space="preserve">Ada Bukti pelaksanaan program peningkatan mutu menyesuaikan dengan jenis kegiatan yang dilakukan, ada Bukti evaluasi pelaksanaan program peningkatan
Mutu</t>
  </si>
  <si>
    <t xml:space="preserve">c) Tim Mutu menyusun program peningkatan mutu dan melakukan tindak lanjut upaya peningkatan mutu secara berkesinambungan (D, W).</t>
  </si>
  <si>
    <t xml:space="preserve">Ada Bukti penyusunan rencana peningkatan mutu berdasarkan evaluasi, ada undangan, daftar hadir, Notulen dan Dokumentasi, ada Bukti hasil tindak lanjut upaya peningkatan mutu secara berkesinambungan, ada PDCA/PDSA.</t>
  </si>
  <si>
    <t xml:space="preserve">d) Program peningkatan mutu dikomunikasikan kepada lintas program dan lintas sektor, serta dilaporkan secara berkala kepada kepala Puskesmas dan dinas kesehatan daerah kabupaten/kota sesuai dengan prosedur yang telah ditetapkan (D, W).</t>
  </si>
  <si>
    <t xml:space="preserve">Ada Bukti pelaksanaan komunikasi program peningkatan mutu sesuai media komunikasi kepada LP dan LS yang ditetapkan oleh Puskesmas</t>
  </si>
  <si>
    <t xml:space="preserve">5.1.2</t>
  </si>
  <si>
    <t xml:space="preserve">a) Terdapat kebijakan tentang indikator mutu Puskesmas yang dilengkapi dengan profil indikator (R).</t>
  </si>
  <si>
    <t xml:space="preserve">Ada SK tentang Indikator Mutu Perioritas (IMPP)  di Puskesmas yang terintegrasi dengan indikator kinerja Puskesmas, ada Profil indikator mutu Puskesmas,</t>
  </si>
  <si>
    <t xml:space="preserve">b) Dilakukan pengukuran indikator mutu sesuai profil indikator (D, W).</t>
  </si>
  <si>
    <t xml:space="preserve">Ada bukti pengukuran indikator mutu sesuai profil indikator mutu dan periode pelaporan</t>
  </si>
  <si>
    <t xml:space="preserve">c) Dilakukan evaluasi terhadap upaya peningkatan mutu Puskesmas berdasarkan tindak lanjut dari rencana perbaikkan (D, W).</t>
  </si>
  <si>
    <t xml:space="preserve">Ada Bukti evaluasi peningkatan mutu sesuai dengan hasil pelaksanaan tindak lanjut</t>
  </si>
  <si>
    <t xml:space="preserve">5.1.3</t>
  </si>
  <si>
    <t xml:space="preserve">a) Dilakukan validasi data terhadap hasil pengumpulan data indikator sebagaimana diminta pada pokok pikiran (D, O, W).</t>
  </si>
  <si>
    <t xml:space="preserve">Ada bukti validasi data hasil pengukuran indikator mutu sesuai pokok pikiran yaitu; ada Indikator mutu baru, ada  Indikator yang akan dipublikasikan, ada perubahan metode pengukuran, perubahan numerator atau denominator, perubahan metode pengumpulan, perubahan sumber data, perubahan subjek pengumpulan data, perubahan definisi operasional dari indikator.</t>
  </si>
  <si>
    <t xml:space="preserve">b) Dilakukan analisis data seperti yang disebutkan dalam pokok pikiran (D, W).</t>
  </si>
  <si>
    <t xml:space="preserve">Ada Hasil analisis data yang dilakukan oleh tim mutu sesuai dengan pokok pikiran  yaitu : pencapaian dibandingkan secara serial dari waktu ke waktu utk melihat kecenderungan, pencapaian dibandingkan dengan target secara periodik, Pencapaian dibandingkan dengan Puskesmas lain (studi banding), dan pencapaian dibandingkan dengan standar dan referensi yang digolongkan sebagai best practice atau panduan praktik klinis.</t>
  </si>
  <si>
    <t xml:space="preserve">c) Disusun rencana tindak lanjut berdasarkan hasil analisis dalam bentuk program peningkatan mutu. (R, D, W)</t>
  </si>
  <si>
    <t xml:space="preserve">Ada bukti Bukti penyusunan rencana tindak lanjut berdasarkan hasil analisis dalam bentuk Program Peningkatan Mutu.</t>
  </si>
  <si>
    <t xml:space="preserve">d) Dilakukan tindaklanjut dan evaluasi terhadap program peningkatan mutu pada huruf c. (D, W)</t>
  </si>
  <si>
    <t xml:space="preserve">Ada Bukti tindak lanjut dan evaluasi program mutu, ada undangan, daftar hadir, Notulen dan foto kegiatan.</t>
  </si>
  <si>
    <t xml:space="preserve">e) Dilakukan pelaporan indikator mutu kepada kepala puskesmas dan dinas kesehatan daerah kabupaten/kota sesuai dengan prosedur yang telah ditetapkan (D, W).</t>
  </si>
  <si>
    <t xml:space="preserve">Ada Bukti pelaporan indikator mutu sesuai prosedur yang ditetapkan, ada pencatatan dan pelaporan melalui aplikasi INM.</t>
  </si>
  <si>
    <t xml:space="preserve">5.1.4</t>
  </si>
  <si>
    <t xml:space="preserve">a) Terdapat bukti Puskesmas telah mengujicobakan rencana peningkatan mutu berdasarkan kriteria 5.1.1 dan 5.1.2 (D, W).</t>
  </si>
  <si>
    <t xml:space="preserve">Ada Bukti pelaksanaan PDCA dan PDSA terhadap capaian indikator mutu  yang tidak tercapai, ada bukti dokumen identifikasi masalah, analisis akar penyebab masalah, alternatif pemecahan masalah, dan perioritas pemecahan masalah,</t>
  </si>
  <si>
    <t xml:space="preserve">b) Terdapat bukti Puskesmas telah melakukan evaluasi dan tindak lanjut terhadap hasil uji coba peningkatan mutu (D, W).</t>
  </si>
  <si>
    <t xml:space="preserve">Ada Bukti  evaluasi hasil uji coba peningkatan mutu PDSA, ada  tindak lanjut berdasarkan hasil evaluasi sesuai siklus PDSA.</t>
  </si>
  <si>
    <t xml:space="preserve">c) Keberhasilan program peningkatan mutu di Puskesmas dikomunikasikan dan disosialisasikan kepada LP dan LS serta dilakukan pendokumentasian kegiatan program peningkatan mutu (D, W).</t>
  </si>
  <si>
    <t xml:space="preserve">Ada Bukti dokumentasi (laporan) pelaksanaan keberhasilan upaya peningkatan mutu, ada Bukti komunikasi hasil peningkatan mutu sesuai mekanisme komunikasi yang ditetapkan oleh Puskesmas, ada undangan, daftar hadir, Botulen, Dokumentasi, ada Bukti sosialisasi keberhasilan upaya peningkatan mutu.</t>
  </si>
  <si>
    <t xml:space="preserve">d) Dilakukan pelaporan program peningkatan mutu kepada dinas kesehatan daerah kabupaten/kota minimal setahun sekali (D, W).</t>
  </si>
  <si>
    <t xml:space="preserve">Ada Bukti pelaporan program peningkatan mutu ke Dinkes Kab/ kota yang terintegrasi dalam laporan kinerja Puskesmas (PKP)</t>
  </si>
  <si>
    <t xml:space="preserve">STANDAR 5.2  —  Program Manajemen Risiko</t>
  </si>
  <si>
    <t xml:space="preserve">5.2.1</t>
  </si>
  <si>
    <t xml:space="preserve">a) Disusun program manajemen risiko untuk ditetapkan oleh Kepala Puskesmas (R, W).</t>
  </si>
  <si>
    <t xml:space="preserve">Ada  SK tentang pelaksanaan manajemen resiko dan SOP-SOP nya, ada  Program Manajemen Resiko yang memuat  komponen  penting meliputi :Proses identifikasi risiko, Integrasi risiko, Pelaporan proses manajemen risiko, Pengelolaan terkait tuntutan,  dan ada bukti telah ditetapkan oleh Kepala Puskesmas, dan ada Register risiko yang disusun sesuai hasil  identifikasi risiko klinis, risiko non klinis terkait (MFK), risiko PPI, dan risiko di KMP, UKM, dan UKPP.</t>
  </si>
  <si>
    <t xml:space="preserve">b) Tim Mutu Puskesmas memandu penatalaksanaan risiko (D, W)</t>
  </si>
  <si>
    <t xml:space="preserve">Ada bukti pelaksanaan manajemen resiko, yang meliputi poin b).(1) sd b). (4) pada pokok pikiran yaitu : proses identifikasi risiko; integrasi risiko meliputi risiko klinis dan non klinis, pelaporan proses manajemen risiko setiap enam bulan; dan pengelolaan terkait terkait tuntutan (klaim).</t>
  </si>
  <si>
    <t xml:space="preserve">c) Dilakukan identifikasi, analisis dan evaluasi risiko yang dapat terjadi di Puskesmas yang didokumentasikan dalam daftar resiko (D, W).</t>
  </si>
  <si>
    <t xml:space="preserve">Ada bukti identifikasi, analisis dan evaluasi risiko yang terangkum dalam daftar resiko</t>
  </si>
  <si>
    <t xml:space="preserve">d) Disusun profil risiko yang merupakan risiko prioritas berdasar evaluasi terhadap hasil identifikasi dan analisis risiko yang ada pada daftar risiko yang memerlukan penanganan lebih lanjut (D,W)</t>
  </si>
  <si>
    <t xml:space="preserve">Ada bukti profil risiko, dan ada bukti proses penyusunan profil resiko</t>
  </si>
  <si>
    <t xml:space="preserve">5.2.2</t>
  </si>
  <si>
    <t xml:space="preserve">a) Disusun rencana penanganan risiko yang diintegrasikan dalam perencanaan tingkat Puskesmas sebagai upaya untuk meminimalkan dan/atau memitigasi risiko (D).</t>
  </si>
  <si>
    <t xml:space="preserve">Ada Bukti rencana penanganan risiko, yang di implementasikan dalam RUK dan RPK Puskesmas</t>
  </si>
  <si>
    <t xml:space="preserve">b) Tim Mutu Puskesmas membuat pemantauan terhadap rencana penanganan (D,W).</t>
  </si>
  <si>
    <t xml:space="preserve">Ada Bukti pemantauan pelaksanaan rencana penanganan risiko, ada risiko beserta hambatan dan upaya solusi atas hambatan yang ditemukan.</t>
  </si>
  <si>
    <t xml:space="preserve">c) Dilakukan pelaporan kepada Kepala Puskesmas dan kepada dinas kesehatan daerah kabupaten/kota serta lintas program dan lintas sektor terkait (D, W).</t>
  </si>
  <si>
    <t xml:space="preserve">Ada Bukti laporan pelaksanaan manajemen resiko Puskesmas beserta hambatan, adabukti  peran serta dinkes kabupaten/kota dan lintas sektor dalam membantu mengatasi hambatan yang ditemukan Puskesmas.</t>
  </si>
  <si>
    <t xml:space="preserve">d) Ada bukti Puskesmas telah melakukan dan menindaklanjuti analisis efek modus kegagalan (failure mode effect analysis) minimal setiap setahun sekali pada proses berisiko tinggi yang diprioritaskan (D, W).</t>
  </si>
  <si>
    <t xml:space="preserve">Ada Bukti pelaksanaan FMEA</t>
  </si>
  <si>
    <t xml:space="preserve">STANDAR 5.3  —  Sasaran Keselamatan Pasien</t>
  </si>
  <si>
    <t xml:space="preserve">5.3.1</t>
  </si>
  <si>
    <t xml:space="preserve">a) Dilakukan identifikasi pasien sebelum dilakukan prosedur diagnostik, tindakan, pemberian obat, pemberian imunisasi, dan pemberian diet sesuai dengan kebijakan dan prosedur yang ditetapkan (R, D, O, W).</t>
  </si>
  <si>
    <t xml:space="preserve">Ada SK tentang pelaksanaan SKP, ada SOP pelaksanaan identifikasi pasien, Bukti observasi kepatuhan identifikasi pasien, ada laporan INM KIP.</t>
  </si>
  <si>
    <t xml:space="preserve">b) Dilakukan prosedur tepat identifikasi apabila dijumpai pasien dengan kondisi khusus seperti yang disebutkan pada pokok pikiran sesuai dengan kebijakan dan prosedur yang ditetapkan (R, D, O, W).</t>
  </si>
  <si>
    <t xml:space="preserve">Ada SOP pelaksanaan identifikasi pasien dengan kondisi khusus, ada bukti pelaksanaan identifikasi pasien pada kondisi tertentu, misalnya pasien tidak dapat menyebutkan identitas, penurunan kesadaran, koma, gangguan jiwa, datang tanpa identitas yang jelas.</t>
  </si>
  <si>
    <t xml:space="preserve">5.3.2</t>
  </si>
  <si>
    <t xml:space="preserve">a) Pemberian perintah secara verbal lewat telepon menggunakan teknik SBAR dan TBAK sesuai dalam pokok pikiran (D, W).</t>
  </si>
  <si>
    <t xml:space="preserve">Ada Bukti TBAK dan/atau Bukti SBAR yang dimasukkan dalam rekam medis pasien</t>
  </si>
  <si>
    <t xml:space="preserve">b) Pelaporan kondisi pasien dan pelaporan nilai kritis hasil pemeriksaan laboratorium dilakukan sesuai dengan prosedur, yaitu ditulis lengkap, dibaca ulang oleh penerima pesan, dan dikonfirmasi oleh pemberi pesan, dan dicatat dalam rekam medis, termasuk identifikasi kepada siapa nilai kritis hasil pemeriksaan laboratorium dilaporkan (D,W, S).</t>
  </si>
  <si>
    <t xml:space="preserve">Ada  Telaah rekam Medis, ada Telaah buku pencatatan hasil laboratorium, ada wawancara tentang penggalian informasi pelaporan kondisi pasien dan pelaporan nilai kritis</t>
  </si>
  <si>
    <t xml:space="preserve">c) Dilakukan komunikasi efektif pada proses serah terima pasien yang memuat hal kritikal dilakukan secara konsisten sesuai dengan prosedur dan metode SBAR dengan menggunakan formulir yang dibakukan (R, D, W, S).</t>
  </si>
  <si>
    <t xml:space="preserve">Ada SOP komunikasi efektif, ada bukti SBAR yang tercatat dalam formular SBAR</t>
  </si>
  <si>
    <t xml:space="preserve">5.3.3</t>
  </si>
  <si>
    <t xml:space="preserve">a) Disusun daftar obat yang perlu diwaspadai dan obat dengan nama atau rupa mirip serta dilakukan pelabelan dan penataan obat yang perlu diwaspadai dan obat dengan nama atau rupa mirip sesuai dengan kebijakan dan prosedur yang disusun (R, D, O, W).</t>
  </si>
  <si>
    <t xml:space="preserve">Ada SOP tentang pengelolaan obat yang perlu diwaspadai dan obat dengan nama dan rupa mirip, ada Daftar obat yang perlu diwaspadai dan obat dengan nama atau rupa mirip.</t>
  </si>
  <si>
    <t xml:space="preserve">b) Dilakukan pengawasan dan pengendalian penggunaan obat-obatan psikotropika/narkotika dan obat-obatan lain yang perlu diwaspadai (high alert) (D, O, W).</t>
  </si>
  <si>
    <t xml:space="preserve">Ada Daftar obat psikotropika/narko tika dan obat- obatan lain yang perlu diwaspadai (high alert), ada Bukti monitoring enggunaan obat-obatan psikotropika/narko tika dan obat- obatan lain yang perlu diwaspadai (high alert).</t>
  </si>
  <si>
    <t xml:space="preserve">5.3.4</t>
  </si>
  <si>
    <t xml:space="preserve">a) Dilakukan penandaan sisi operasi/tindakan medis secara konsisten oleh pemberi pelayanan yang akan melakukan tindakan sesuai dengan kebijakan dan prosedur yang ditetapkan (R, O, W, S).</t>
  </si>
  <si>
    <t xml:space="preserve">Ada SOP penandaan sisi operasi/tindakan medis, ada wawancara Penggalian informasi tentang proses penandaan sisi operasi/tindakan medis yang dilakukan di Puskesmas, dilakukan simulasi proses penandaan sisi operasi/tindakan medis</t>
  </si>
  <si>
    <t xml:space="preserve">b) Dilakukan verifikasi sebelum operasi/tindakan medis untuk memastikan bahwa prosedur telah dilakukan dengan benar (D, O, W).</t>
  </si>
  <si>
    <t xml:space="preserve">Ada bukti pelaksanaan upaya untuk memastikan benar pasien dan benar prosedur, sebelum dilakukan operasi/tindakan medis. Bukti tersebut dimasukkan ke dalam rekam medis, dilakukan simulasi proses pelaksanaan benar pasien dan benar prosedur, sebelum dilakukan operasi/tindakan medis.</t>
  </si>
  <si>
    <t xml:space="preserve">c) Dilakukan penjedaan (time out) sebelum operasi/tindakan medis untuk memastikan semua pertanyaan sudah terjawab atau meluruskan kerancuan (O, W).</t>
  </si>
  <si>
    <t xml:space="preserve">Dilakukan time-out sebelum operasi/  tindakan  medis,  untuk memastikan semua pertanyaan sudah terjawab al; benar psien, benar prosedur, benar sisi tindakan, dan meluruskan kerancuan</t>
  </si>
  <si>
    <t xml:space="preserve">5.3.5</t>
  </si>
  <si>
    <t xml:space="preserve">a) Ditetapkan standar kebersihan tangan yang mengacu pada standar WHO (R).</t>
  </si>
  <si>
    <t xml:space="preserve">Ada SOP tentang langkah kebersihan tangan, ada SOP tentang indikasi kebersihan tangan dan lima peluang kebersihan tangan,</t>
  </si>
  <si>
    <t xml:space="preserve">b) Dilakukan kebersihan tangan sesuai dengan regulasi yang ditetapkan (D, O, W).</t>
  </si>
  <si>
    <t xml:space="preserve">Ada bukti observasi kepatuhan kebersihan tangan, ada format observasi Kepatuhan Kebersihan Tangan (KKT)dan aplikasi INM.</t>
  </si>
  <si>
    <t xml:space="preserve">5.3.6</t>
  </si>
  <si>
    <t xml:space="preserve">a) Dilakukan penapisan pasien dengan risiko jatuh jatuh di rawat jalan dan pengkajian risiko jatuh di IGD dan rawat inap sesuai dengan kebijakan dan prosedur serta dilakukan upaya untuk mengurangi risiko tersebut (R, O, W, S).</t>
  </si>
  <si>
    <t xml:space="preserve">Ada SOP penapisan pasien  dengan risiko jatuh di rawat jalan, ada SOP pengkajian risiko jatuh di IGD, ada SOP pengkajian risiko jatuh di rawat inap, dilakukan observasi  terhadap pelaksanaan penapisan pasien dengan risiko jatuh, dilakukan simulasi penapisan pasien dengan risiko jatuh sesuai dengan tempatnya (rawat jalan/rawat inap/IGD)</t>
  </si>
  <si>
    <t xml:space="preserve">b) Dilakukan evaluasi dan tindak lanjut untuk mengurangi risiko terhadap situasi dan lokasi yang diidentifikasi berisiko terjadi pasien jatuh (D, W).).</t>
  </si>
  <si>
    <t xml:space="preserve">Ada bukti dilakukan evaluasi untuk mengurangi risiko terhadap situasi dan lokasi yang diidentifikasi berisiko terjadi pasien jatuh, ada Bukti dilakukan tindaklanjut dari hasil evaluasi</t>
  </si>
  <si>
    <t xml:space="preserve">STANDAR 5.4  —  Pelaporan Insiden Keselamatan Pasien dan Pengembangan Budaya Keselamatan</t>
  </si>
  <si>
    <t xml:space="preserve">5.4.1</t>
  </si>
  <si>
    <t xml:space="preserve">a) Dilakukan pelaporan jika terjadi insiden sesuai dengan kebijakan dan prosedur yang ditetapkan kepada tim keselamatan pasien dan kepala puskesmas yang disertai dengan analisis, investigasi insiden, dan tindak lanjut terhadap insiden (R, D, W).</t>
  </si>
  <si>
    <t xml:space="preserve">Ada SK pelaporan insiden keselamatan pasien, ada SOP pelaporan insiden keselamatan pasien secara internal, ada SOP pelaporan insiden keselamatan pasien secara eksternal, ada Bukti dilakukan pelaporan IKP, baik internal atau eksternal, ada 	Bukti analisis, investigasi insiden, ada Bukti tindaklanjut perbaikan untuk mencegah terjadinya insiden secara berulang</t>
  </si>
  <si>
    <t xml:space="preserve">b) Dilakukan pelaporan kepada Komite Nasional Keselamatan Pasien (KNKP) terhadap insiden, analisis, dan tindak lanjut sesuai dengan kerangka waktu yang ditetapkan (D, O, W).</t>
  </si>
  <si>
    <t xml:space="preserve">AdaBukti pelaporan IKP melalui aplikasi pelaporan IKP, baik pelaporan nihil atau pelaporan jika terjadi KTD atau sentinel, dilakukan observasi proses pelaporan IKP melalui aplikasi.</t>
  </si>
  <si>
    <t xml:space="preserve">5.4.2</t>
  </si>
  <si>
    <t xml:space="preserve">a) Dilakukan pengukuran budaya keselamatan pasien dengan menlakukan survei budaya keselamatan pasien yang menjadi acuan dalam program budaya keselamatan (D,W).</t>
  </si>
  <si>
    <t xml:space="preserve">Ada Bukti observasi kepatuhan terhadap kode etik dan peraturan internal Puskesmas, yang terdiri dari unsur
untuk meningkatkan mutu dan keselamatan pasien.</t>
  </si>
  <si>
    <t xml:space="preserve">b) Puskesmas membuat sistem untuk mengidentifikasi dan menyampaikan laporan perilaku yang tidak mendukung budaya keselamatan atau "tidak dapat diterima" dan upaya perbaikannya (D,
W).</t>
  </si>
  <si>
    <t xml:space="preserve">Ada SOP tentang  mekanisme atau sistem pelaporan terhadap penemuan perilaku yang melanggar kode etik dan peraturan internal, ada wawancara Penggalian informasi alur pelaporan dan sistem jaminan kerahasiaan pelapor.</t>
  </si>
  <si>
    <t xml:space="preserve">c) Dilakukan edukasi tentang mutu klinis dan keselamatan pasien pada semua tenaga kesehatan pemberi asuhan (D, W).</t>
  </si>
  <si>
    <t xml:space="preserve">Ada bukti Bukti sosialisasi kode etik dan peraturan internal (unsur peningkatan mutu dan keselamatan pasien), Terdapat bukti tindak lanjut atas pelaporan adanya tindakan yang melanggar kode etik dan peraturan internal.</t>
  </si>
  <si>
    <t xml:space="preserve">STANDAR 5.5  —  Program Pencegahan dan Pengendalian Infeksi</t>
  </si>
  <si>
    <t xml:space="preserve">5.5.1</t>
  </si>
  <si>
    <t xml:space="preserve">a) Puskesmas menyusun rencana dan melaksanakan program PPI yang terdiri atas (R, D): (1) implementasi kewaspadaan isolasi yang terdiri atas kewaspadaan standar dan kewaspadaan berdasar transmisi,
(2) pendidikan dan pelatihan PPI (dapat berupa pelatihan atau lokakarya) baik bagi petugas maupun pasien dan keluarga, serta masyarakat, (3) penyusunan dan penerapan bundel infeksi terkait pelayanan kesehatan,
(4) pemantauan (monitoring) pelaksanaan kewaspadaan isolasi,
(5) surveilans penyakit infeksi terkait pelayanan kesehatan dan,
(6) penggunaan anti mikroba secara bijak dan komprehensif dalam penyelenggaraan pelayanan di Puskesmas</t>
  </si>
  <si>
    <t xml:space="preserve">Ada SK Pelaksanaan PPI Terdapat, ada SOP Perencanaan PPI, ada SOP Pelaksanaan PPI, ada Bukti Dokumen Perencanaan PPI yang terdapat dalam RUK dan RPK Puskesmas, ada Bukti Pelaksanaan PPI di Puskesmas</t>
  </si>
  <si>
    <t xml:space="preserve">b) Dilakukan pemantauan, evaluasi, tindak lanjut, dan pelaporan terhadap pelaksanaan program PPI dengan menggunakan indikator yang ditetapkan (D, W).</t>
  </si>
  <si>
    <t xml:space="preserve">Ada Bukti Bukti pelaksanaan monitoring dan evaluasi pelaksanaan program PPI dengan indikator yang telah ditetapkan, ada 	Bukti penilaian kinerja PPI yang terintegrasi dalam PKP, ada Bukti rekomendasi perbaikan dan tindaklanjutnya dari hasil monev program PPI</t>
  </si>
  <si>
    <t xml:space="preserve">5.5.2</t>
  </si>
  <si>
    <t xml:space="preserve">a) Dilakukan identifikasi dan kajian risiko infeksi terkait dengan penyelenggaraan pelayanan di Puskesmas (D, W).</t>
  </si>
  <si>
    <t xml:space="preserve">Ada Data supervisi/hasil audit Program PPI, dan Jika ada renovasi dilakukan ICRA konstruksi.</t>
  </si>
  <si>
    <t xml:space="preserve">b) Disusun dan dilaksanakan strategi untuk meminimalkan risiko infeksi terkait dengan penyelenggaraan pelayanan di Puskesmas dan dipastikan ketersediaan (a) sampai (c) yang tercantum dalam bagian Pokok Pikiran (D, W).</t>
  </si>
  <si>
    <t xml:space="preserve">Ada Dokumen ICRA Program PPI, ada Dokumen Plan of Action (POA) sesuai hasil ICRA, ada Bukti evaluasi hasil kegiatan program PPI.</t>
  </si>
  <si>
    <t xml:space="preserve">5.5.3</t>
  </si>
  <si>
    <t xml:space="preserve">a) Terdapat bukti penerapan dan pemantauan prinsip kewaspadaan standar sesuai dengan Pokok Pikiran pada angka (1) sampai dengan angka (9) sesuai dengan prosedur yang ditetapkan (R, D, O, W).</t>
  </si>
  <si>
    <t xml:space="preserve">Ada SOP penerapan kewaspadaan standar seperti Penggunaan APD, pengelolaan Linen, penempatan pasien, pengelolahan limbah, Dekontamina si peralatan perawatan pasien dengan benar dll, ada Dokumen Bukti penerapan kewaspadaan standar berdasarkan regulasi yang telah ditetapkan di Puskesmas.</t>
  </si>
  <si>
    <t xml:space="preserve">b) Jika ada pengelolaan pada pokok pikiran angka (6) sampai dengan angka (8) yang dilaksanakan oleh pihak ketiga, Puskesmas harus memastikan standar mutu diterapkan oleh pihak ketiga sesuai dengan ketentuan peraturan perundang-undangan (D, W).</t>
  </si>
  <si>
    <t xml:space="preserve">Ada Perjanjian Kerjasama (MoU) dengan pihak ketiga.  ada Bukti pemantauan standar mutu (angka 6 sampai dengan angka 8) pokok pikiran dan pelaksanan PPI oleh pihak ketiga.</t>
  </si>
  <si>
    <t xml:space="preserve">5.5.4</t>
  </si>
  <si>
    <t xml:space="preserve">a) Dilakukan edukasi kebersihan tangan pada seluruh karyawan Puskesmas, pasien, dan keluarga pasien (D, W).</t>
  </si>
  <si>
    <t xml:space="preserve">Ada Dokumen edukasi kebersihan tangan kepada karyawan Puskesmas, pasien, dan keluarga pasien seperti penyediaan media edukasi, ada leaflet, Poster, banner, AVA, ada bukti pertemuan edukasi undangan, daftar hadir, notulen dan dokmentasi.</t>
  </si>
  <si>
    <t xml:space="preserve">b) Sarana dan prasarana untuk kebersihan tangan tersedia di tempat pelayanan (O).</t>
  </si>
  <si>
    <t xml:space="preserve">Hasil observasi ada  wastafel, ketersediaan air, handrub, tisu dll</t>
  </si>
  <si>
    <t xml:space="preserve">c) Dilakukan evaluasi dan tindak lanjut terhadap pelaksanaan kebersihan tangan secara periodik sesuai dengan ketentuan yang ditetapkan (D, W).</t>
  </si>
  <si>
    <t xml:space="preserve">Ada dokumen audit kebersihan tangan, ada dokumen evaluasi penyediaan perlengkapan dan peralatan kebersihan tangan</t>
  </si>
  <si>
    <t xml:space="preserve">5.5.5</t>
  </si>
  <si>
    <t xml:space="preserve">a) Dilakukan identifikasi penyakit infeksi yang ditularkan melalui transmisi airborne dan prosedur atau tindakan yang dilayani di Puskesmas yang menimbulkan aerosolisasi serta upaya pencegahan penularan infeksi melalui transmisi airborne dengan pemakaian APD, penataan ruang periksa, penempatan pasien, ataupun transfer pasien sesuai dengan regulasi yang disusun
(R, O, W)</t>
  </si>
  <si>
    <t xml:space="preserve">Ada SOP  tentang alur pemisahan pelayanan Pasien untuk mencegah terjadinya  transmisi, ada SOP penetapan prosedur pelayanan untuk mencegah terjadinya  transmisi, dilakukan observasi terhadap alur pemisahan pasien.</t>
  </si>
  <si>
    <t xml:space="preserve">b) Dilakukan evaluasi dan tindak lanjut terhadap hasil pemantauan terhadap pelaksanaan penataaan ruang periksa, penggunaan APD, penempatan pasien, dan transfer pasien untuk mencegah transmisi infeksi (D, W).</t>
  </si>
  <si>
    <t xml:space="preserve">Ada Dokumen bukti evaluasi penerapan kewaspadaan berdasarkan transmisi, ada Dokumen hasil tindaklanjut penerapan kewaspadaan berdasarkan transmisi</t>
  </si>
  <si>
    <t xml:space="preserve">5.5.6</t>
  </si>
  <si>
    <t xml:space="preserve">a) Dilakukan identifikasi mengenai kemungkinan terjadinya outbreak infeksi, baik yang terjadi di Puskesmas maupun di wilayah kerja Puskesmas (D, W).</t>
  </si>
  <si>
    <t xml:space="preserve">Ada iDokumen data kasus outbreak yang terjadi di Puskesmas dan wilayah kerja Puskesma</t>
  </si>
  <si>
    <t xml:space="preserve">b) Jika terjadi outbreak infeksi, dilakukan penanggulangan sesuai dengan kebijakan, panduan, protokol kesehatan, dan prosedur yang disusun serta dilakukan evaluasi dan tindak lanjut terhadap pelaksanaan penanggulangan sesuai dengan regulasi yang disusun (D, W).</t>
  </si>
  <si>
    <t xml:space="preserve">Ada Dokumen penanganan kejadian outbreak di Puskesmas.</t>
  </si>
  <si>
    <t xml:space="preserve"> ) </t>
  </si>
  <si>
    <t xml:space="preserve">RINGKASAN CAPAIAN BAB V</t>
  </si>
  <si>
    <t xml:space="preserve">Peningkatan Mutu Berkesinambungan</t>
  </si>
  <si>
    <t xml:space="preserve">Program Manajemen Risiko</t>
  </si>
  <si>
    <t xml:space="preserve">Sasaran Keselamatan Pasien</t>
  </si>
  <si>
    <t xml:space="preserve">Pelaporan Insiden Keselamatan Pasien dan Pengembangan Budaya Keselamatan</t>
  </si>
  <si>
    <t xml:space="preserve">Program Pencegahan dan Pengendalian Infeksi</t>
  </si>
  <si>
    <t xml:space="preserve">TOTAL BAB V</t>
  </si>
</sst>
</file>

<file path=xl/styles.xml><?xml version="1.0" encoding="utf-8"?>
<styleSheet xmlns="http://schemas.openxmlformats.org/spreadsheetml/2006/main">
  <numFmts count="3">
    <numFmt numFmtId="164" formatCode="General"/>
    <numFmt numFmtId="165" formatCode="0.0%"/>
    <numFmt numFmtId="166" formatCode="General"/>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23832"/>
      <name val="Arial"/>
      <family val="0"/>
      <charset val="1"/>
    </font>
    <font>
      <b val="true"/>
      <sz val="10.5"/>
      <name val="Arial"/>
      <family val="0"/>
      <charset val="1"/>
    </font>
    <font>
      <b val="true"/>
      <sz val="12"/>
      <name val="Arial"/>
      <family val="0"/>
      <charset val="1"/>
    </font>
    <font>
      <sz val="10.5"/>
      <name val="Arial"/>
      <family val="0"/>
      <charset val="1"/>
    </font>
    <font>
      <b val="true"/>
      <sz val="10.5"/>
      <color rgb="FFFFFFFF"/>
      <name val="Arial"/>
      <family val="0"/>
      <charset val="1"/>
    </font>
    <font>
      <sz val="9.5"/>
      <name val="Arial"/>
      <family val="0"/>
      <charset val="1"/>
    </font>
    <font>
      <b val="true"/>
      <sz val="9.5"/>
      <name val="Arial"/>
      <family val="0"/>
      <charset val="1"/>
    </font>
    <font>
      <b val="true"/>
      <sz val="11"/>
      <name val="Arial"/>
      <family val="0"/>
      <charset val="1"/>
    </font>
    <font>
      <b val="true"/>
      <sz val="9.5"/>
      <color rgb="FFFFFFFF"/>
      <name val="Arial"/>
      <family val="0"/>
      <charset val="1"/>
    </font>
    <font>
      <b val="true"/>
      <sz val="12"/>
      <color rgb="FFFFFFFF"/>
      <name val="Arial"/>
      <family val="0"/>
      <charset val="1"/>
    </font>
    <font>
      <i val="true"/>
      <sz val="9.5"/>
      <color rgb="FF2F5D57"/>
      <name val="Arial"/>
      <family val="0"/>
      <charset val="1"/>
    </font>
    <font>
      <b val="true"/>
      <sz val="10"/>
      <color rgb="FFFFFFFF"/>
      <name val="Arial"/>
      <family val="0"/>
      <charset val="1"/>
    </font>
    <font>
      <b val="true"/>
      <sz val="9"/>
      <name val="Arial"/>
      <family val="0"/>
      <charset val="1"/>
    </font>
    <font>
      <sz val="9"/>
      <name val="Arial"/>
      <family val="0"/>
      <charset val="1"/>
    </font>
    <font>
      <sz val="8.5"/>
      <name val="Arial"/>
      <family val="0"/>
      <charset val="1"/>
    </font>
  </fonts>
  <fills count="5">
    <fill>
      <patternFill patternType="none"/>
    </fill>
    <fill>
      <patternFill patternType="gray125"/>
    </fill>
    <fill>
      <patternFill patternType="solid">
        <fgColor rgb="FF123832"/>
        <bgColor rgb="FF003300"/>
      </patternFill>
    </fill>
    <fill>
      <patternFill patternType="solid">
        <fgColor rgb="FFC79A3C"/>
        <bgColor rgb="FFB9B39C"/>
      </patternFill>
    </fill>
    <fill>
      <patternFill patternType="solid">
        <fgColor rgb="FFE7E4D4"/>
        <bgColor rgb="FFCCFFCC"/>
      </patternFill>
    </fill>
  </fills>
  <borders count="2">
    <border diagonalUp="false" diagonalDown="false">
      <left/>
      <right/>
      <top/>
      <bottom/>
      <diagonal/>
    </border>
    <border diagonalUp="false" diagonalDown="false">
      <left style="thin">
        <color rgb="FFB9B39C"/>
      </left>
      <right style="thin">
        <color rgb="FFB9B39C"/>
      </right>
      <top style="thin">
        <color rgb="FFB9B39C"/>
      </top>
      <bottom style="thin">
        <color rgb="FFB9B39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bottom" textRotation="0" wrapText="tru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1" shrinkToFit="false"/>
      <protection locked="true" hidden="false"/>
    </xf>
    <xf numFmtId="164" fontId="15" fillId="0" borderId="0" xfId="0" applyFont="true" applyBorder="true" applyAlignment="true" applyProtection="false">
      <alignment horizontal="general" vertical="top" textRotation="0" wrapText="true" indent="1"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4" borderId="0" xfId="0" applyFont="true" applyBorder="true" applyAlignment="true" applyProtection="false">
      <alignment horizontal="general" vertical="center" textRotation="0" wrapText="false" indent="1"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B39C"/>
      <rgbColor rgb="FF808080"/>
      <rgbColor rgb="FF9999FF"/>
      <rgbColor rgb="FF993366"/>
      <rgbColor rgb="FFE7E4D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79A3C"/>
      <rgbColor rgb="FFFF6600"/>
      <rgbColor rgb="FF2F5D57"/>
      <rgbColor rgb="FF969696"/>
      <rgbColor rgb="FF003366"/>
      <rgbColor rgb="FF339966"/>
      <rgbColor rgb="FF003300"/>
      <rgbColor rgb="FF333300"/>
      <rgbColor rgb="FF993300"/>
      <rgbColor rgb="FF993366"/>
      <rgbColor rgb="FF333399"/>
      <rgbColor rgb="FF1238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s>
  <sheetData>
    <row r="2" customFormat="false" ht="25.5" hidden="false" customHeight="true" outlineLevel="0" collapsed="false">
      <c r="B2" s="2" t="s">
        <v>0</v>
      </c>
    </row>
    <row r="3" customFormat="false" ht="25.5" hidden="false" customHeight="true" outlineLevel="0" collapsed="false">
      <c r="B3" s="3" t="s">
        <v>1</v>
      </c>
    </row>
    <row r="5" customFormat="false" ht="24.75" hidden="false" customHeight="true" outlineLevel="0" collapsed="false">
      <c r="B5" s="4" t="s">
        <v>2</v>
      </c>
    </row>
    <row r="7" customFormat="false" ht="15" hidden="false" customHeight="true" outlineLevel="0" collapsed="false">
      <c r="B7" s="5" t="s">
        <v>3</v>
      </c>
    </row>
    <row r="8" customFormat="false" ht="36.75" hidden="false" customHeight="true" outlineLevel="0" collapsed="false">
      <c r="B8" s="6" t="s">
        <v>4</v>
      </c>
    </row>
    <row r="10" customFormat="false" ht="15" hidden="false" customHeight="true" outlineLevel="0" collapsed="false">
      <c r="B10" s="5" t="s">
        <v>5</v>
      </c>
    </row>
    <row r="11" customFormat="false" ht="24.75" hidden="false" customHeight="true" outlineLevel="0" collapsed="false">
      <c r="B11" s="7" t="s">
        <v>6</v>
      </c>
    </row>
    <row r="12" customFormat="false" ht="24.75" hidden="false" customHeight="true" outlineLevel="0" collapsed="false">
      <c r="B12" s="7" t="s">
        <v>7</v>
      </c>
    </row>
    <row r="13" customFormat="false" ht="24.75" hidden="false" customHeight="true" outlineLevel="0" collapsed="false">
      <c r="B13" s="7" t="s">
        <v>8</v>
      </c>
    </row>
    <row r="15" customFormat="false" ht="15" hidden="false" customHeight="true" outlineLevel="0" collapsed="false">
      <c r="B15" s="5" t="s">
        <v>9</v>
      </c>
    </row>
    <row r="16" customFormat="false" ht="15" hidden="false" customHeight="true" outlineLevel="0" collapsed="false">
      <c r="B16" s="7" t="s">
        <v>10</v>
      </c>
    </row>
    <row r="17" customFormat="false" ht="15" hidden="false" customHeight="true" outlineLevel="0" collapsed="false">
      <c r="B17" s="7" t="s">
        <v>11</v>
      </c>
    </row>
    <row r="18" customFormat="false" ht="15" hidden="false" customHeight="true" outlineLevel="0" collapsed="false">
      <c r="B18" s="7" t="s">
        <v>12</v>
      </c>
    </row>
    <row r="19" customFormat="false" ht="15" hidden="false" customHeight="true" outlineLevel="0" collapsed="false">
      <c r="B19" s="7" t="s">
        <v>13</v>
      </c>
    </row>
    <row r="20" customFormat="false" ht="15" hidden="false" customHeight="true" outlineLevel="0" collapsed="false">
      <c r="B20" s="7" t="s">
        <v>14</v>
      </c>
    </row>
    <row r="22" customFormat="false" ht="15" hidden="false" customHeight="true" outlineLevel="0" collapsed="false">
      <c r="B22" s="5" t="s">
        <v>15</v>
      </c>
    </row>
    <row r="23" customFormat="false" ht="24.75" hidden="false" customHeight="true" outlineLevel="0" collapsed="false">
      <c r="B23" s="7" t="s">
        <v>16</v>
      </c>
    </row>
    <row r="24" customFormat="false" ht="15" hidden="false" customHeight="true" outlineLevel="0" collapsed="false">
      <c r="B24" s="7" t="s">
        <v>17</v>
      </c>
    </row>
    <row r="25" customFormat="false" ht="15" hidden="false" customHeight="true" outlineLevel="0" collapsed="false">
      <c r="B25" s="7" t="s">
        <v>18</v>
      </c>
    </row>
    <row r="27" customFormat="false" ht="15" hidden="false" customHeight="true" outlineLevel="0" collapsed="false">
      <c r="B27" s="5" t="s">
        <v>19</v>
      </c>
    </row>
    <row r="28" customFormat="false" ht="30" hidden="false" customHeight="true" outlineLevel="0" collapsed="false">
      <c r="B28" s="7" t="s">
        <v>20</v>
      </c>
    </row>
    <row r="29" customFormat="false" ht="30" hidden="false" customHeight="true" outlineLevel="0" collapsed="false">
      <c r="B29" s="7" t="s">
        <v>21</v>
      </c>
    </row>
    <row r="30" customFormat="false" ht="30" hidden="false" customHeight="true" outlineLevel="0" collapsed="false">
      <c r="B30" s="7" t="s">
        <v>22</v>
      </c>
    </row>
    <row r="31" customFormat="false" ht="30" hidden="false" customHeight="true" outlineLevel="0" collapsed="false">
      <c r="B31" s="7" t="s">
        <v>23</v>
      </c>
    </row>
    <row r="33" customFormat="false" ht="15" hidden="false" customHeight="true" outlineLevel="0" collapsed="false">
      <c r="B33" s="5" t="s">
        <v>24</v>
      </c>
    </row>
    <row r="34" customFormat="false" ht="60" hidden="false" customHeight="true" outlineLevel="0" collapsed="false">
      <c r="B34" s="6"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46"/>
    <col collapsed="false" customWidth="true" hidden="false" outlineLevel="0" max="4" min="4" style="1" width="12"/>
    <col collapsed="false" customWidth="true" hidden="false" outlineLevel="0" max="6" min="5" style="1" width="34"/>
  </cols>
  <sheetData>
    <row r="1" customFormat="false" ht="30" hidden="false" customHeight="true" outlineLevel="0" collapsed="false">
      <c r="A1" s="8" t="s">
        <v>26</v>
      </c>
      <c r="B1" s="8" t="s">
        <v>27</v>
      </c>
      <c r="C1" s="8" t="s">
        <v>28</v>
      </c>
      <c r="D1" s="8" t="s">
        <v>29</v>
      </c>
      <c r="E1" s="8" t="s">
        <v>30</v>
      </c>
      <c r="F1" s="8" t="s">
        <v>31</v>
      </c>
    </row>
    <row r="2" customFormat="false" ht="30" hidden="false" customHeight="true" outlineLevel="0" collapsed="false">
      <c r="A2" s="9" t="s">
        <v>32</v>
      </c>
      <c r="B2" s="10" t="s">
        <v>33</v>
      </c>
      <c r="C2" s="11" t="s">
        <v>34</v>
      </c>
      <c r="D2" s="12"/>
      <c r="E2" s="13"/>
      <c r="F2" s="13"/>
    </row>
    <row r="3" customFormat="false" ht="30" hidden="false" customHeight="true" outlineLevel="0" collapsed="false">
      <c r="A3" s="9" t="s">
        <v>32</v>
      </c>
      <c r="B3" s="10" t="s">
        <v>35</v>
      </c>
      <c r="C3" s="11" t="s">
        <v>36</v>
      </c>
      <c r="D3" s="12"/>
      <c r="E3" s="13"/>
      <c r="F3" s="13"/>
    </row>
    <row r="4" customFormat="false" ht="30" hidden="false" customHeight="true" outlineLevel="0" collapsed="false">
      <c r="A4" s="9" t="s">
        <v>32</v>
      </c>
      <c r="B4" s="10" t="s">
        <v>37</v>
      </c>
      <c r="C4" s="11" t="s">
        <v>38</v>
      </c>
      <c r="D4" s="12"/>
      <c r="E4" s="13"/>
      <c r="F4" s="13"/>
    </row>
    <row r="5" customFormat="false" ht="30" hidden="false" customHeight="true" outlineLevel="0" collapsed="false">
      <c r="A5" s="9" t="s">
        <v>32</v>
      </c>
      <c r="B5" s="10" t="s">
        <v>39</v>
      </c>
      <c r="C5" s="11" t="s">
        <v>40</v>
      </c>
      <c r="D5" s="12"/>
      <c r="E5" s="13"/>
      <c r="F5" s="13"/>
    </row>
    <row r="6" customFormat="false" ht="30" hidden="false" customHeight="true" outlineLevel="0" collapsed="false">
      <c r="A6" s="9" t="s">
        <v>32</v>
      </c>
      <c r="B6" s="10" t="s">
        <v>41</v>
      </c>
      <c r="C6" s="11" t="s">
        <v>42</v>
      </c>
      <c r="D6" s="12"/>
      <c r="E6" s="13"/>
      <c r="F6" s="13"/>
    </row>
    <row r="7" customFormat="false" ht="30" hidden="false" customHeight="true" outlineLevel="0" collapsed="false">
      <c r="A7" s="9" t="s">
        <v>32</v>
      </c>
      <c r="B7" s="10" t="s">
        <v>43</v>
      </c>
      <c r="C7" s="11" t="s">
        <v>44</v>
      </c>
      <c r="D7" s="12"/>
      <c r="E7" s="13"/>
      <c r="F7" s="13"/>
    </row>
    <row r="8" customFormat="false" ht="30" hidden="false" customHeight="true" outlineLevel="0" collapsed="false">
      <c r="A8" s="9" t="s">
        <v>32</v>
      </c>
      <c r="B8" s="10" t="s">
        <v>45</v>
      </c>
      <c r="C8" s="11" t="s">
        <v>46</v>
      </c>
      <c r="D8" s="12"/>
      <c r="E8" s="13"/>
      <c r="F8" s="13"/>
    </row>
    <row r="9" customFormat="false" ht="30" hidden="false" customHeight="true" outlineLevel="0" collapsed="false">
      <c r="A9" s="9" t="s">
        <v>47</v>
      </c>
      <c r="B9" s="10" t="s">
        <v>48</v>
      </c>
      <c r="C9" s="11" t="s">
        <v>49</v>
      </c>
      <c r="D9" s="12"/>
      <c r="E9" s="13"/>
      <c r="F9" s="13"/>
    </row>
    <row r="10" customFormat="false" ht="30" hidden="false" customHeight="true" outlineLevel="0" collapsed="false">
      <c r="A10" s="9" t="s">
        <v>47</v>
      </c>
      <c r="B10" s="10" t="s">
        <v>50</v>
      </c>
      <c r="C10" s="11" t="s">
        <v>51</v>
      </c>
      <c r="D10" s="12"/>
      <c r="E10" s="13"/>
      <c r="F10" s="13"/>
    </row>
    <row r="11" customFormat="false" ht="30" hidden="false" customHeight="true" outlineLevel="0" collapsed="false">
      <c r="A11" s="9" t="s">
        <v>47</v>
      </c>
      <c r="B11" s="10" t="s">
        <v>52</v>
      </c>
      <c r="C11" s="11" t="s">
        <v>53</v>
      </c>
      <c r="D11" s="12"/>
      <c r="E11" s="13"/>
      <c r="F11" s="13"/>
    </row>
    <row r="12" customFormat="false" ht="30" hidden="false" customHeight="true" outlineLevel="0" collapsed="false">
      <c r="A12" s="9" t="s">
        <v>47</v>
      </c>
      <c r="B12" s="10" t="s">
        <v>54</v>
      </c>
      <c r="C12" s="11" t="s">
        <v>55</v>
      </c>
      <c r="D12" s="12"/>
      <c r="E12" s="13"/>
      <c r="F12" s="13"/>
    </row>
    <row r="13" customFormat="false" ht="30" hidden="false" customHeight="true" outlineLevel="0" collapsed="false">
      <c r="A13" s="9" t="s">
        <v>47</v>
      </c>
      <c r="B13" s="10" t="s">
        <v>56</v>
      </c>
      <c r="C13" s="11" t="s">
        <v>57</v>
      </c>
      <c r="D13" s="12"/>
      <c r="E13" s="13"/>
      <c r="F13" s="13"/>
    </row>
    <row r="14" customFormat="false" ht="30" hidden="false" customHeight="true" outlineLevel="0" collapsed="false">
      <c r="A14" s="9" t="s">
        <v>47</v>
      </c>
      <c r="B14" s="10" t="s">
        <v>58</v>
      </c>
      <c r="C14" s="11" t="s">
        <v>59</v>
      </c>
      <c r="D14" s="12"/>
      <c r="E14" s="13"/>
      <c r="F14" s="13"/>
    </row>
    <row r="15" customFormat="false" ht="30" hidden="false" customHeight="true" outlineLevel="0" collapsed="false">
      <c r="A15" s="9" t="s">
        <v>47</v>
      </c>
      <c r="B15" s="10" t="s">
        <v>60</v>
      </c>
      <c r="C15" s="11" t="s">
        <v>61</v>
      </c>
      <c r="D15" s="12"/>
      <c r="E15" s="13"/>
      <c r="F15" s="13"/>
    </row>
    <row r="16" customFormat="false" ht="30" hidden="false" customHeight="true" outlineLevel="0" collapsed="false">
      <c r="A16" s="9" t="s">
        <v>47</v>
      </c>
      <c r="B16" s="10" t="s">
        <v>62</v>
      </c>
      <c r="C16" s="11" t="s">
        <v>63</v>
      </c>
      <c r="D16" s="12"/>
      <c r="E16" s="13"/>
      <c r="F16" s="13"/>
    </row>
    <row r="17" customFormat="false" ht="30" hidden="false" customHeight="true" outlineLevel="0" collapsed="false">
      <c r="A17" s="9" t="s">
        <v>64</v>
      </c>
      <c r="B17" s="10" t="s">
        <v>65</v>
      </c>
      <c r="C17" s="11" t="s">
        <v>66</v>
      </c>
      <c r="D17" s="12"/>
      <c r="E17" s="13"/>
      <c r="F17" s="13"/>
    </row>
    <row r="18" customFormat="false" ht="30" hidden="false" customHeight="true" outlineLevel="0" collapsed="false">
      <c r="A18" s="9" t="s">
        <v>64</v>
      </c>
      <c r="B18" s="10" t="s">
        <v>67</v>
      </c>
      <c r="C18" s="11" t="s">
        <v>68</v>
      </c>
      <c r="D18" s="12"/>
      <c r="E18" s="13"/>
      <c r="F18" s="13"/>
    </row>
    <row r="19" customFormat="false" ht="30" hidden="false" customHeight="true" outlineLevel="0" collapsed="false">
      <c r="A19" s="9" t="s">
        <v>64</v>
      </c>
      <c r="B19" s="10" t="s">
        <v>69</v>
      </c>
      <c r="C19" s="11" t="s">
        <v>70</v>
      </c>
      <c r="D19" s="12"/>
      <c r="E19" s="13"/>
      <c r="F19" s="13"/>
    </row>
    <row r="20" customFormat="false" ht="30" hidden="false" customHeight="true" outlineLevel="0" collapsed="false">
      <c r="A20" s="9" t="s">
        <v>64</v>
      </c>
      <c r="B20" s="10" t="s">
        <v>71</v>
      </c>
      <c r="C20" s="11" t="s">
        <v>72</v>
      </c>
      <c r="D20" s="12"/>
      <c r="E20" s="13"/>
      <c r="F20" s="13"/>
    </row>
    <row r="21" customFormat="false" ht="30" hidden="false" customHeight="true" outlineLevel="0" collapsed="false">
      <c r="A21" s="9" t="s">
        <v>64</v>
      </c>
      <c r="B21" s="10" t="s">
        <v>73</v>
      </c>
      <c r="C21" s="11" t="s">
        <v>74</v>
      </c>
      <c r="D21" s="12"/>
      <c r="E21" s="13"/>
      <c r="F21" s="13"/>
    </row>
    <row r="22" customFormat="false" ht="30" hidden="false" customHeight="true" outlineLevel="0" collapsed="false">
      <c r="A22" s="9" t="s">
        <v>64</v>
      </c>
      <c r="B22" s="10" t="s">
        <v>75</v>
      </c>
      <c r="C22" s="11" t="s">
        <v>76</v>
      </c>
      <c r="D22" s="12"/>
      <c r="E22" s="13"/>
      <c r="F22" s="13"/>
    </row>
    <row r="23" customFormat="false" ht="30" hidden="false" customHeight="true" outlineLevel="0" collapsed="false">
      <c r="A23" s="9" t="s">
        <v>64</v>
      </c>
      <c r="B23" s="10" t="s">
        <v>77</v>
      </c>
      <c r="C23" s="11" t="s">
        <v>78</v>
      </c>
      <c r="D23" s="12"/>
      <c r="E23" s="13"/>
      <c r="F23" s="13"/>
    </row>
    <row r="24" customFormat="false" ht="30" hidden="false" customHeight="true" outlineLevel="0" collapsed="false">
      <c r="A24" s="9" t="s">
        <v>64</v>
      </c>
      <c r="B24" s="10" t="s">
        <v>79</v>
      </c>
      <c r="C24" s="11" t="s">
        <v>80</v>
      </c>
      <c r="D24" s="12"/>
      <c r="E24" s="13"/>
      <c r="F24" s="13"/>
    </row>
    <row r="25" customFormat="false" ht="30" hidden="false" customHeight="true" outlineLevel="0" collapsed="false">
      <c r="A25" s="9" t="s">
        <v>64</v>
      </c>
      <c r="B25" s="10" t="s">
        <v>81</v>
      </c>
      <c r="C25" s="11" t="s">
        <v>82</v>
      </c>
      <c r="D25" s="12"/>
      <c r="E25" s="13"/>
      <c r="F25" s="13"/>
    </row>
    <row r="26" customFormat="false" ht="30" hidden="false" customHeight="true" outlineLevel="0" collapsed="false">
      <c r="A26" s="9" t="s">
        <v>64</v>
      </c>
      <c r="B26" s="10" t="s">
        <v>83</v>
      </c>
      <c r="C26" s="11" t="s">
        <v>84</v>
      </c>
      <c r="D26" s="12"/>
      <c r="E26" s="13"/>
      <c r="F26" s="13"/>
    </row>
    <row r="27" customFormat="false" ht="30" hidden="false" customHeight="true" outlineLevel="0" collapsed="false">
      <c r="A27" s="9" t="s">
        <v>85</v>
      </c>
      <c r="B27" s="10" t="s">
        <v>86</v>
      </c>
      <c r="C27" s="11" t="s">
        <v>87</v>
      </c>
      <c r="D27" s="12"/>
      <c r="E27" s="13"/>
      <c r="F27" s="13"/>
    </row>
    <row r="28" customFormat="false" ht="30" hidden="false" customHeight="true" outlineLevel="0" collapsed="false">
      <c r="A28" s="9" t="s">
        <v>85</v>
      </c>
      <c r="B28" s="10" t="s">
        <v>88</v>
      </c>
      <c r="C28" s="11" t="s">
        <v>89</v>
      </c>
      <c r="D28" s="12"/>
      <c r="E28" s="13"/>
      <c r="F28" s="13"/>
    </row>
    <row r="29" customFormat="false" ht="30" hidden="false" customHeight="true" outlineLevel="0" collapsed="false">
      <c r="A29" s="9" t="s">
        <v>85</v>
      </c>
      <c r="B29" s="10" t="s">
        <v>90</v>
      </c>
      <c r="C29" s="11" t="s">
        <v>91</v>
      </c>
      <c r="D29" s="12"/>
      <c r="E29" s="13"/>
      <c r="F29" s="13"/>
    </row>
    <row r="30" customFormat="false" ht="30" hidden="false" customHeight="true" outlineLevel="0" collapsed="false">
      <c r="A30" s="9" t="s">
        <v>85</v>
      </c>
      <c r="B30" s="10" t="s">
        <v>92</v>
      </c>
      <c r="C30" s="11" t="s">
        <v>93</v>
      </c>
      <c r="D30" s="12"/>
      <c r="E30" s="13"/>
      <c r="F30" s="13"/>
    </row>
    <row r="31" customFormat="false" ht="30" hidden="false" customHeight="true" outlineLevel="0" collapsed="false">
      <c r="A31" s="9" t="s">
        <v>85</v>
      </c>
      <c r="B31" s="10" t="s">
        <v>94</v>
      </c>
      <c r="C31" s="11" t="s">
        <v>95</v>
      </c>
      <c r="D31" s="12"/>
      <c r="E31" s="13"/>
      <c r="F31" s="13"/>
    </row>
    <row r="32" customFormat="false" ht="30" hidden="false" customHeight="true" outlineLevel="0" collapsed="false">
      <c r="A32" s="9" t="s">
        <v>96</v>
      </c>
      <c r="B32" s="10" t="s">
        <v>97</v>
      </c>
      <c r="C32" s="11" t="s">
        <v>98</v>
      </c>
      <c r="D32" s="12"/>
      <c r="E32" s="13"/>
      <c r="F32" s="13"/>
    </row>
    <row r="33" customFormat="false" ht="30" hidden="false" customHeight="true" outlineLevel="0" collapsed="false">
      <c r="A33" s="9" t="s">
        <v>96</v>
      </c>
      <c r="B33" s="10" t="s">
        <v>99</v>
      </c>
      <c r="C33" s="11" t="s">
        <v>100</v>
      </c>
      <c r="D33" s="12"/>
      <c r="E33" s="13"/>
      <c r="F33" s="13"/>
    </row>
    <row r="34" customFormat="false" ht="30" hidden="false" customHeight="true" outlineLevel="0" collapsed="false">
      <c r="A34" s="9" t="s">
        <v>96</v>
      </c>
      <c r="B34" s="10" t="s">
        <v>101</v>
      </c>
      <c r="C34" s="11" t="s">
        <v>102</v>
      </c>
      <c r="D34" s="12"/>
      <c r="E34" s="13"/>
      <c r="F34" s="13"/>
    </row>
    <row r="35" customFormat="false" ht="30" hidden="false" customHeight="true" outlineLevel="0" collapsed="false">
      <c r="A35" s="9" t="s">
        <v>96</v>
      </c>
      <c r="B35" s="10" t="s">
        <v>103</v>
      </c>
      <c r="C35" s="11" t="s">
        <v>104</v>
      </c>
      <c r="D35" s="12"/>
      <c r="E35" s="13"/>
      <c r="F35" s="13"/>
    </row>
    <row r="36" customFormat="false" ht="30" hidden="false" customHeight="true" outlineLevel="0" collapsed="false">
      <c r="A36" s="9" t="s">
        <v>96</v>
      </c>
      <c r="B36" s="10" t="s">
        <v>105</v>
      </c>
      <c r="C36" s="11" t="s">
        <v>106</v>
      </c>
      <c r="D36" s="12"/>
      <c r="E36" s="13"/>
      <c r="F36" s="13"/>
    </row>
    <row r="38" customFormat="false" ht="15" hidden="false" customHeight="true" outlineLevel="0" collapsed="false">
      <c r="A38" s="14" t="s">
        <v>107</v>
      </c>
    </row>
    <row r="39" customFormat="false" ht="23.25" hidden="false" customHeight="true" outlineLevel="0" collapsed="false">
      <c r="A39" s="15" t="s">
        <v>26</v>
      </c>
      <c r="B39" s="15" t="s">
        <v>108</v>
      </c>
      <c r="C39" s="15" t="s">
        <v>109</v>
      </c>
      <c r="D39" s="15" t="s">
        <v>110</v>
      </c>
      <c r="E39" s="15" t="s">
        <v>111</v>
      </c>
    </row>
    <row r="40" customFormat="false" ht="15" hidden="false" customHeight="true" outlineLevel="0" collapsed="false">
      <c r="A40" s="9" t="s">
        <v>32</v>
      </c>
      <c r="B40" s="9" t="n">
        <v>7</v>
      </c>
      <c r="C40" s="9" t="n">
        <f aca="false">SUM(D2:D8)</f>
        <v>0</v>
      </c>
      <c r="D40" s="9" t="n">
        <f aca="false">B40*10</f>
        <v>70</v>
      </c>
      <c r="E40" s="16" t="n">
        <f aca="false">IFERROR(C40/D40,0)</f>
        <v>0</v>
      </c>
    </row>
    <row r="41" customFormat="false" ht="15" hidden="false" customHeight="true" outlineLevel="0" collapsed="false">
      <c r="A41" s="9" t="s">
        <v>47</v>
      </c>
      <c r="B41" s="9" t="n">
        <v>8</v>
      </c>
      <c r="C41" s="9" t="n">
        <f aca="false">SUM(D9:D16)</f>
        <v>0</v>
      </c>
      <c r="D41" s="9" t="n">
        <f aca="false">B41*10</f>
        <v>80</v>
      </c>
      <c r="E41" s="16" t="n">
        <f aca="false">IFERROR(C41/D41,0)</f>
        <v>0</v>
      </c>
    </row>
    <row r="42" customFormat="false" ht="15" hidden="false" customHeight="true" outlineLevel="0" collapsed="false">
      <c r="A42" s="9" t="s">
        <v>64</v>
      </c>
      <c r="B42" s="9" t="n">
        <v>10</v>
      </c>
      <c r="C42" s="9" t="n">
        <f aca="false">SUM(D17:D26)</f>
        <v>0</v>
      </c>
      <c r="D42" s="9" t="n">
        <f aca="false">B42*10</f>
        <v>100</v>
      </c>
      <c r="E42" s="16" t="n">
        <f aca="false">IFERROR(C42/D42,0)</f>
        <v>0</v>
      </c>
    </row>
    <row r="43" customFormat="false" ht="15" hidden="false" customHeight="true" outlineLevel="0" collapsed="false">
      <c r="A43" s="9" t="s">
        <v>85</v>
      </c>
      <c r="B43" s="9" t="n">
        <v>5</v>
      </c>
      <c r="C43" s="9" t="n">
        <f aca="false">SUM(D27:D31)</f>
        <v>0</v>
      </c>
      <c r="D43" s="9" t="n">
        <f aca="false">B43*10</f>
        <v>50</v>
      </c>
      <c r="E43" s="16" t="n">
        <f aca="false">IFERROR(C43/D43,0)</f>
        <v>0</v>
      </c>
    </row>
    <row r="44" customFormat="false" ht="15" hidden="false" customHeight="true" outlineLevel="0" collapsed="false">
      <c r="A44" s="9" t="s">
        <v>96</v>
      </c>
      <c r="B44" s="9" t="n">
        <v>5</v>
      </c>
      <c r="C44" s="9" t="n">
        <f aca="false">SUM(D32:D36)</f>
        <v>0</v>
      </c>
      <c r="D44" s="9" t="n">
        <f aca="false">B44*10</f>
        <v>50</v>
      </c>
      <c r="E44" s="16" t="n">
        <f aca="false">IFERROR(C44/D44,0)</f>
        <v>0</v>
      </c>
    </row>
    <row r="45" customFormat="false" ht="15" hidden="false" customHeight="true" outlineLevel="0" collapsed="false">
      <c r="A45" s="17" t="s">
        <v>112</v>
      </c>
      <c r="B45" s="17" t="n">
        <f aca="false">SUM(B40:B44)</f>
        <v>35</v>
      </c>
      <c r="C45" s="17" t="n">
        <f aca="false">SUM(C40:C44)</f>
        <v>0</v>
      </c>
      <c r="D45" s="17" t="n">
        <f aca="false">SUM(D40:D44)</f>
        <v>350</v>
      </c>
      <c r="E45" s="18" t="n">
        <f aca="false">IFERROR(C45/D45,0)</f>
        <v>0</v>
      </c>
    </row>
  </sheetData>
  <dataValidations count="1">
    <dataValidation allowBlank="true" errorStyle="stop" operator="between" showDropDown="false" showErrorMessage="false" showInputMessage="false" sqref="D2:D36" type="list">
      <formula1>"10,5,0"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48"/>
    <col collapsed="false" customWidth="true" hidden="false" outlineLevel="0" max="4" min="4" style="0" width="10"/>
    <col collapsed="false" customWidth="true" hidden="false" outlineLevel="0" max="5" min="5" style="0" width="32"/>
    <col collapsed="false" customWidth="true" hidden="false" outlineLevel="0" max="6" min="6" style="0" width="30"/>
  </cols>
  <sheetData>
    <row r="1" customFormat="false" ht="24" hidden="false" customHeight="true" outlineLevel="0" collapsed="false">
      <c r="A1" s="19" t="s">
        <v>113</v>
      </c>
      <c r="B1" s="19"/>
      <c r="C1" s="19"/>
      <c r="D1" s="19"/>
      <c r="E1" s="19"/>
      <c r="F1" s="19"/>
    </row>
    <row r="2" customFormat="false" ht="30" hidden="false" customHeight="true" outlineLevel="0" collapsed="false">
      <c r="A2" s="20" t="s">
        <v>114</v>
      </c>
      <c r="B2" s="20"/>
      <c r="C2" s="20"/>
      <c r="D2" s="20"/>
      <c r="E2" s="20"/>
      <c r="F2" s="20"/>
    </row>
    <row r="4" customFormat="false" ht="27.75" hidden="false" customHeight="true" outlineLevel="0" collapsed="false">
      <c r="A4" s="21" t="s">
        <v>115</v>
      </c>
      <c r="B4" s="21" t="s">
        <v>116</v>
      </c>
      <c r="C4" s="21" t="s">
        <v>117</v>
      </c>
      <c r="D4" s="21" t="s">
        <v>118</v>
      </c>
      <c r="E4" s="21" t="s">
        <v>119</v>
      </c>
      <c r="F4" s="21" t="s">
        <v>31</v>
      </c>
    </row>
    <row r="5" customFormat="false" ht="19.5" hidden="false" customHeight="true" outlineLevel="0" collapsed="false">
      <c r="A5" s="22" t="s">
        <v>120</v>
      </c>
      <c r="B5" s="22"/>
      <c r="C5" s="22"/>
      <c r="D5" s="22"/>
      <c r="E5" s="22"/>
      <c r="F5" s="22"/>
    </row>
    <row r="6" customFormat="false" ht="57.75" hidden="false" customHeight="true" outlineLevel="0" collapsed="false">
      <c r="A6" s="23" t="s">
        <v>33</v>
      </c>
      <c r="B6" s="23" t="s">
        <v>121</v>
      </c>
      <c r="C6" s="24" t="s">
        <v>122</v>
      </c>
      <c r="D6" s="25"/>
      <c r="E6" s="26" t="s">
        <v>123</v>
      </c>
      <c r="F6" s="27"/>
    </row>
    <row r="7" customFormat="false" ht="57.75" hidden="false" customHeight="true" outlineLevel="0" collapsed="false">
      <c r="A7" s="23"/>
      <c r="B7" s="23"/>
      <c r="C7" s="24" t="s">
        <v>124</v>
      </c>
      <c r="D7" s="25"/>
      <c r="E7" s="26" t="s">
        <v>125</v>
      </c>
      <c r="F7" s="27"/>
    </row>
    <row r="8" customFormat="false" ht="57.75" hidden="false" customHeight="true" outlineLevel="0" collapsed="false">
      <c r="A8" s="23"/>
      <c r="B8" s="23"/>
      <c r="C8" s="24" t="s">
        <v>126</v>
      </c>
      <c r="D8" s="25"/>
      <c r="E8" s="26" t="s">
        <v>127</v>
      </c>
      <c r="F8" s="27"/>
    </row>
    <row r="9" customFormat="false" ht="57.75" hidden="false" customHeight="true" outlineLevel="0" collapsed="false">
      <c r="A9" s="23"/>
      <c r="B9" s="23"/>
      <c r="C9" s="24" t="s">
        <v>128</v>
      </c>
      <c r="D9" s="25"/>
      <c r="E9" s="26" t="s">
        <v>129</v>
      </c>
      <c r="F9" s="27"/>
    </row>
    <row r="10" customFormat="false" ht="57.75" hidden="false" customHeight="true" outlineLevel="0" collapsed="false">
      <c r="A10" s="23"/>
      <c r="B10" s="23"/>
      <c r="C10" s="24" t="s">
        <v>130</v>
      </c>
      <c r="D10" s="25"/>
      <c r="E10" s="26" t="s">
        <v>131</v>
      </c>
      <c r="F10" s="27"/>
    </row>
    <row r="11" customFormat="false" ht="57.75" hidden="false" customHeight="true" outlineLevel="0" collapsed="false">
      <c r="A11" s="23"/>
      <c r="B11" s="23"/>
      <c r="C11" s="24" t="s">
        <v>132</v>
      </c>
      <c r="D11" s="25"/>
      <c r="E11" s="26" t="s">
        <v>133</v>
      </c>
      <c r="F11" s="27"/>
    </row>
    <row r="12" customFormat="false" ht="57.75" hidden="false" customHeight="true" outlineLevel="0" collapsed="false">
      <c r="A12" s="23"/>
      <c r="B12" s="23"/>
      <c r="C12" s="24" t="s">
        <v>134</v>
      </c>
      <c r="D12" s="25"/>
      <c r="E12" s="26" t="s">
        <v>135</v>
      </c>
      <c r="F12" s="27"/>
    </row>
    <row r="13" customFormat="false" ht="57.75" hidden="false" customHeight="true" outlineLevel="0" collapsed="false">
      <c r="A13" s="23" t="s">
        <v>33</v>
      </c>
      <c r="B13" s="23" t="s">
        <v>136</v>
      </c>
      <c r="C13" s="24" t="s">
        <v>137</v>
      </c>
      <c r="D13" s="25"/>
      <c r="E13" s="26" t="s">
        <v>138</v>
      </c>
      <c r="F13" s="27"/>
    </row>
    <row r="14" customFormat="false" ht="57.75" hidden="false" customHeight="true" outlineLevel="0" collapsed="false">
      <c r="A14" s="23"/>
      <c r="B14" s="23"/>
      <c r="C14" s="24" t="s">
        <v>139</v>
      </c>
      <c r="D14" s="25"/>
      <c r="E14" s="26" t="s">
        <v>140</v>
      </c>
      <c r="F14" s="27"/>
    </row>
    <row r="15" customFormat="false" ht="57.75" hidden="false" customHeight="true" outlineLevel="0" collapsed="false">
      <c r="A15" s="23"/>
      <c r="B15" s="23"/>
      <c r="C15" s="24" t="s">
        <v>141</v>
      </c>
      <c r="D15" s="25"/>
      <c r="E15" s="26" t="s">
        <v>142</v>
      </c>
      <c r="F15" s="27"/>
    </row>
    <row r="16" customFormat="false" ht="57.75" hidden="false" customHeight="true" outlineLevel="0" collapsed="false">
      <c r="A16" s="23"/>
      <c r="B16" s="23"/>
      <c r="C16" s="24" t="s">
        <v>143</v>
      </c>
      <c r="D16" s="25"/>
      <c r="E16" s="26" t="s">
        <v>144</v>
      </c>
      <c r="F16" s="27"/>
    </row>
    <row r="17" customFormat="false" ht="19.5" hidden="false" customHeight="true" outlineLevel="0" collapsed="false">
      <c r="A17" s="22" t="s">
        <v>145</v>
      </c>
      <c r="B17" s="22"/>
      <c r="C17" s="22"/>
      <c r="D17" s="22"/>
      <c r="E17" s="22"/>
      <c r="F17" s="22"/>
    </row>
    <row r="18" customFormat="false" ht="57.75" hidden="false" customHeight="true" outlineLevel="0" collapsed="false">
      <c r="A18" s="23" t="s">
        <v>35</v>
      </c>
      <c r="B18" s="23" t="s">
        <v>146</v>
      </c>
      <c r="C18" s="24" t="s">
        <v>147</v>
      </c>
      <c r="D18" s="25"/>
      <c r="E18" s="26" t="s">
        <v>148</v>
      </c>
      <c r="F18" s="27"/>
    </row>
    <row r="19" customFormat="false" ht="57.75" hidden="false" customHeight="true" outlineLevel="0" collapsed="false">
      <c r="A19" s="23"/>
      <c r="B19" s="23"/>
      <c r="C19" s="24" t="s">
        <v>149</v>
      </c>
      <c r="D19" s="25"/>
      <c r="E19" s="26" t="s">
        <v>150</v>
      </c>
      <c r="F19" s="27"/>
    </row>
    <row r="20" customFormat="false" ht="57.75" hidden="false" customHeight="true" outlineLevel="0" collapsed="false">
      <c r="A20" s="23"/>
      <c r="B20" s="23"/>
      <c r="C20" s="24" t="s">
        <v>151</v>
      </c>
      <c r="D20" s="25"/>
      <c r="E20" s="26" t="s">
        <v>152</v>
      </c>
      <c r="F20" s="27"/>
    </row>
    <row r="21" customFormat="false" ht="57.75" hidden="false" customHeight="true" outlineLevel="0" collapsed="false">
      <c r="A21" s="23" t="s">
        <v>35</v>
      </c>
      <c r="B21" s="23" t="s">
        <v>153</v>
      </c>
      <c r="C21" s="24" t="s">
        <v>154</v>
      </c>
      <c r="D21" s="25"/>
      <c r="E21" s="26" t="s">
        <v>155</v>
      </c>
      <c r="F21" s="27"/>
    </row>
    <row r="22" customFormat="false" ht="57.75" hidden="false" customHeight="true" outlineLevel="0" collapsed="false">
      <c r="A22" s="23"/>
      <c r="B22" s="23"/>
      <c r="C22" s="24" t="s">
        <v>156</v>
      </c>
      <c r="D22" s="25"/>
      <c r="E22" s="26" t="s">
        <v>157</v>
      </c>
      <c r="F22" s="27"/>
    </row>
    <row r="23" customFormat="false" ht="57.75" hidden="false" customHeight="true" outlineLevel="0" collapsed="false">
      <c r="A23" s="23"/>
      <c r="B23" s="23"/>
      <c r="C23" s="24" t="s">
        <v>158</v>
      </c>
      <c r="D23" s="25"/>
      <c r="E23" s="26" t="s">
        <v>159</v>
      </c>
      <c r="F23" s="27"/>
    </row>
    <row r="24" customFormat="false" ht="57.75" hidden="false" customHeight="true" outlineLevel="0" collapsed="false">
      <c r="A24" s="23" t="s">
        <v>35</v>
      </c>
      <c r="B24" s="23" t="s">
        <v>160</v>
      </c>
      <c r="C24" s="24" t="s">
        <v>161</v>
      </c>
      <c r="D24" s="25"/>
      <c r="E24" s="26" t="s">
        <v>162</v>
      </c>
      <c r="F24" s="27"/>
    </row>
    <row r="25" customFormat="false" ht="57.75" hidden="false" customHeight="true" outlineLevel="0" collapsed="false">
      <c r="A25" s="23"/>
      <c r="B25" s="23"/>
      <c r="C25" s="24" t="s">
        <v>163</v>
      </c>
      <c r="D25" s="25"/>
      <c r="E25" s="26" t="s">
        <v>164</v>
      </c>
      <c r="F25" s="27"/>
    </row>
    <row r="26" customFormat="false" ht="57.75" hidden="false" customHeight="true" outlineLevel="0" collapsed="false">
      <c r="A26" s="23"/>
      <c r="B26" s="23"/>
      <c r="C26" s="24" t="s">
        <v>165</v>
      </c>
      <c r="D26" s="25"/>
      <c r="E26" s="26" t="s">
        <v>166</v>
      </c>
      <c r="F26" s="27"/>
    </row>
    <row r="27" customFormat="false" ht="57.75" hidden="false" customHeight="true" outlineLevel="0" collapsed="false">
      <c r="A27" s="23"/>
      <c r="B27" s="23"/>
      <c r="C27" s="24" t="s">
        <v>167</v>
      </c>
      <c r="D27" s="25"/>
      <c r="E27" s="26" t="s">
        <v>168</v>
      </c>
      <c r="F27" s="27"/>
    </row>
    <row r="28" customFormat="false" ht="57.75" hidden="false" customHeight="true" outlineLevel="0" collapsed="false">
      <c r="A28" s="23" t="s">
        <v>35</v>
      </c>
      <c r="B28" s="23" t="s">
        <v>169</v>
      </c>
      <c r="C28" s="24" t="s">
        <v>170</v>
      </c>
      <c r="D28" s="25"/>
      <c r="E28" s="26" t="s">
        <v>171</v>
      </c>
      <c r="F28" s="27"/>
    </row>
    <row r="29" customFormat="false" ht="57.75" hidden="false" customHeight="true" outlineLevel="0" collapsed="false">
      <c r="A29" s="23"/>
      <c r="B29" s="23"/>
      <c r="C29" s="24" t="s">
        <v>172</v>
      </c>
      <c r="D29" s="25"/>
      <c r="E29" s="26" t="s">
        <v>173</v>
      </c>
      <c r="F29" s="27"/>
    </row>
    <row r="30" customFormat="false" ht="57.75" hidden="false" customHeight="true" outlineLevel="0" collapsed="false">
      <c r="A30" s="23"/>
      <c r="B30" s="23"/>
      <c r="C30" s="24" t="s">
        <v>174</v>
      </c>
      <c r="D30" s="25"/>
      <c r="E30" s="26" t="s">
        <v>175</v>
      </c>
      <c r="F30" s="27"/>
    </row>
    <row r="31" customFormat="false" ht="57.75" hidden="false" customHeight="true" outlineLevel="0" collapsed="false">
      <c r="A31" s="23" t="s">
        <v>35</v>
      </c>
      <c r="B31" s="23" t="s">
        <v>176</v>
      </c>
      <c r="C31" s="24" t="s">
        <v>177</v>
      </c>
      <c r="D31" s="25"/>
      <c r="E31" s="26" t="s">
        <v>178</v>
      </c>
      <c r="F31" s="27"/>
    </row>
    <row r="32" customFormat="false" ht="57.75" hidden="false" customHeight="true" outlineLevel="0" collapsed="false">
      <c r="A32" s="23"/>
      <c r="B32" s="23"/>
      <c r="C32" s="24" t="s">
        <v>179</v>
      </c>
      <c r="D32" s="25"/>
      <c r="E32" s="26" t="s">
        <v>180</v>
      </c>
      <c r="F32" s="27"/>
    </row>
    <row r="33" customFormat="false" ht="57.75" hidden="false" customHeight="true" outlineLevel="0" collapsed="false">
      <c r="A33" s="23"/>
      <c r="B33" s="23"/>
      <c r="C33" s="24" t="s">
        <v>181</v>
      </c>
      <c r="D33" s="25"/>
      <c r="E33" s="26" t="s">
        <v>182</v>
      </c>
      <c r="F33" s="27"/>
    </row>
    <row r="34" customFormat="false" ht="19.5" hidden="false" customHeight="true" outlineLevel="0" collapsed="false">
      <c r="A34" s="22" t="s">
        <v>183</v>
      </c>
      <c r="B34" s="22"/>
      <c r="C34" s="22"/>
      <c r="D34" s="22"/>
      <c r="E34" s="22"/>
      <c r="F34" s="22"/>
    </row>
    <row r="35" customFormat="false" ht="57.75" hidden="false" customHeight="true" outlineLevel="0" collapsed="false">
      <c r="A35" s="23" t="s">
        <v>37</v>
      </c>
      <c r="B35" s="23" t="s">
        <v>184</v>
      </c>
      <c r="C35" s="24" t="s">
        <v>185</v>
      </c>
      <c r="D35" s="25"/>
      <c r="E35" s="26" t="s">
        <v>186</v>
      </c>
      <c r="F35" s="27"/>
    </row>
    <row r="36" customFormat="false" ht="57.75" hidden="false" customHeight="true" outlineLevel="0" collapsed="false">
      <c r="A36" s="23"/>
      <c r="B36" s="23"/>
      <c r="C36" s="24" t="s">
        <v>187</v>
      </c>
      <c r="D36" s="25"/>
      <c r="E36" s="26" t="s">
        <v>188</v>
      </c>
      <c r="F36" s="27"/>
    </row>
    <row r="37" customFormat="false" ht="57.75" hidden="false" customHeight="true" outlineLevel="0" collapsed="false">
      <c r="A37" s="23"/>
      <c r="B37" s="23"/>
      <c r="C37" s="24" t="s">
        <v>189</v>
      </c>
      <c r="D37" s="25"/>
      <c r="E37" s="26" t="s">
        <v>190</v>
      </c>
      <c r="F37" s="27"/>
    </row>
    <row r="38" customFormat="false" ht="57.75" hidden="false" customHeight="true" outlineLevel="0" collapsed="false">
      <c r="A38" s="23"/>
      <c r="B38" s="23"/>
      <c r="C38" s="24" t="s">
        <v>191</v>
      </c>
      <c r="D38" s="25"/>
      <c r="E38" s="26" t="s">
        <v>192</v>
      </c>
      <c r="F38" s="27"/>
    </row>
    <row r="39" customFormat="false" ht="57.75" hidden="false" customHeight="true" outlineLevel="0" collapsed="false">
      <c r="A39" s="23" t="s">
        <v>37</v>
      </c>
      <c r="B39" s="23" t="s">
        <v>193</v>
      </c>
      <c r="C39" s="24" t="s">
        <v>194</v>
      </c>
      <c r="D39" s="25"/>
      <c r="E39" s="26" t="s">
        <v>195</v>
      </c>
      <c r="F39" s="27"/>
    </row>
    <row r="40" customFormat="false" ht="57.75" hidden="false" customHeight="true" outlineLevel="0" collapsed="false">
      <c r="A40" s="23"/>
      <c r="B40" s="23"/>
      <c r="C40" s="24" t="s">
        <v>196</v>
      </c>
      <c r="D40" s="25"/>
      <c r="E40" s="26" t="s">
        <v>197</v>
      </c>
      <c r="F40" s="27"/>
    </row>
    <row r="41" customFormat="false" ht="57.75" hidden="false" customHeight="true" outlineLevel="0" collapsed="false">
      <c r="A41" s="23"/>
      <c r="B41" s="23"/>
      <c r="C41" s="24" t="s">
        <v>198</v>
      </c>
      <c r="D41" s="25"/>
      <c r="E41" s="26" t="s">
        <v>199</v>
      </c>
      <c r="F41" s="27"/>
    </row>
    <row r="42" customFormat="false" ht="57.75" hidden="false" customHeight="true" outlineLevel="0" collapsed="false">
      <c r="A42" s="23"/>
      <c r="B42" s="23"/>
      <c r="C42" s="24" t="s">
        <v>200</v>
      </c>
      <c r="D42" s="25"/>
      <c r="E42" s="26" t="s">
        <v>201</v>
      </c>
      <c r="F42" s="27"/>
    </row>
    <row r="43" customFormat="false" ht="57.75" hidden="false" customHeight="true" outlineLevel="0" collapsed="false">
      <c r="A43" s="23"/>
      <c r="B43" s="23"/>
      <c r="C43" s="24" t="s">
        <v>202</v>
      </c>
      <c r="D43" s="25"/>
      <c r="E43" s="26" t="s">
        <v>203</v>
      </c>
      <c r="F43" s="27"/>
    </row>
    <row r="44" customFormat="false" ht="57.75" hidden="false" customHeight="true" outlineLevel="0" collapsed="false">
      <c r="A44" s="23" t="s">
        <v>37</v>
      </c>
      <c r="B44" s="23" t="s">
        <v>204</v>
      </c>
      <c r="C44" s="24" t="s">
        <v>205</v>
      </c>
      <c r="D44" s="25"/>
      <c r="E44" s="26" t="s">
        <v>206</v>
      </c>
      <c r="F44" s="27"/>
    </row>
    <row r="45" customFormat="false" ht="57.75" hidden="false" customHeight="true" outlineLevel="0" collapsed="false">
      <c r="A45" s="23"/>
      <c r="B45" s="23"/>
      <c r="C45" s="24" t="s">
        <v>207</v>
      </c>
      <c r="D45" s="25"/>
      <c r="E45" s="26" t="s">
        <v>208</v>
      </c>
      <c r="F45" s="27"/>
    </row>
    <row r="46" customFormat="false" ht="57.75" hidden="false" customHeight="true" outlineLevel="0" collapsed="false">
      <c r="A46" s="23"/>
      <c r="B46" s="23"/>
      <c r="C46" s="24" t="s">
        <v>209</v>
      </c>
      <c r="D46" s="25"/>
      <c r="E46" s="26" t="s">
        <v>210</v>
      </c>
      <c r="F46" s="27"/>
    </row>
    <row r="47" customFormat="false" ht="57.75" hidden="false" customHeight="true" outlineLevel="0" collapsed="false">
      <c r="A47" s="23" t="s">
        <v>37</v>
      </c>
      <c r="B47" s="23" t="s">
        <v>211</v>
      </c>
      <c r="C47" s="24" t="s">
        <v>212</v>
      </c>
      <c r="D47" s="25"/>
      <c r="E47" s="26" t="s">
        <v>213</v>
      </c>
      <c r="F47" s="27"/>
    </row>
    <row r="48" customFormat="false" ht="57.75" hidden="false" customHeight="true" outlineLevel="0" collapsed="false">
      <c r="A48" s="23"/>
      <c r="B48" s="23"/>
      <c r="C48" s="24" t="s">
        <v>214</v>
      </c>
      <c r="D48" s="25"/>
      <c r="E48" s="26" t="s">
        <v>215</v>
      </c>
      <c r="F48" s="27"/>
    </row>
    <row r="49" customFormat="false" ht="57.75" hidden="false" customHeight="true" outlineLevel="0" collapsed="false">
      <c r="A49" s="23" t="s">
        <v>37</v>
      </c>
      <c r="B49" s="23" t="s">
        <v>216</v>
      </c>
      <c r="C49" s="24" t="s">
        <v>217</v>
      </c>
      <c r="D49" s="25"/>
      <c r="E49" s="26" t="s">
        <v>218</v>
      </c>
      <c r="F49" s="27"/>
    </row>
    <row r="50" customFormat="false" ht="57.75" hidden="false" customHeight="true" outlineLevel="0" collapsed="false">
      <c r="A50" s="23"/>
      <c r="B50" s="23"/>
      <c r="C50" s="24" t="s">
        <v>219</v>
      </c>
      <c r="D50" s="25"/>
      <c r="E50" s="26" t="s">
        <v>220</v>
      </c>
      <c r="F50" s="27"/>
    </row>
    <row r="51" customFormat="false" ht="57.75" hidden="false" customHeight="true" outlineLevel="0" collapsed="false">
      <c r="A51" s="23" t="s">
        <v>37</v>
      </c>
      <c r="B51" s="23" t="s">
        <v>221</v>
      </c>
      <c r="C51" s="24" t="s">
        <v>222</v>
      </c>
      <c r="D51" s="25"/>
      <c r="E51" s="26" t="s">
        <v>223</v>
      </c>
      <c r="F51" s="27"/>
    </row>
    <row r="52" customFormat="false" ht="57.75" hidden="false" customHeight="true" outlineLevel="0" collapsed="false">
      <c r="A52" s="23"/>
      <c r="B52" s="23"/>
      <c r="C52" s="24" t="s">
        <v>224</v>
      </c>
      <c r="D52" s="25"/>
      <c r="E52" s="26" t="s">
        <v>225</v>
      </c>
      <c r="F52" s="27"/>
    </row>
    <row r="53" customFormat="false" ht="57.75" hidden="false" customHeight="true" outlineLevel="0" collapsed="false">
      <c r="A53" s="23"/>
      <c r="B53" s="23"/>
      <c r="C53" s="24" t="s">
        <v>226</v>
      </c>
      <c r="D53" s="25"/>
      <c r="E53" s="26" t="s">
        <v>227</v>
      </c>
      <c r="F53" s="27"/>
    </row>
    <row r="54" customFormat="false" ht="57.75" hidden="false" customHeight="true" outlineLevel="0" collapsed="false">
      <c r="A54" s="23"/>
      <c r="B54" s="23"/>
      <c r="C54" s="24" t="s">
        <v>228</v>
      </c>
      <c r="D54" s="25"/>
      <c r="E54" s="26" t="s">
        <v>229</v>
      </c>
      <c r="F54" s="27"/>
    </row>
    <row r="55" customFormat="false" ht="19.5" hidden="false" customHeight="true" outlineLevel="0" collapsed="false">
      <c r="A55" s="22" t="s">
        <v>230</v>
      </c>
      <c r="B55" s="22"/>
      <c r="C55" s="22"/>
      <c r="D55" s="22"/>
      <c r="E55" s="22"/>
      <c r="F55" s="22"/>
    </row>
    <row r="56" customFormat="false" ht="57.75" hidden="false" customHeight="true" outlineLevel="0" collapsed="false">
      <c r="A56" s="23" t="s">
        <v>39</v>
      </c>
      <c r="B56" s="23" t="s">
        <v>231</v>
      </c>
      <c r="C56" s="24" t="s">
        <v>232</v>
      </c>
      <c r="D56" s="25"/>
      <c r="E56" s="26" t="s">
        <v>233</v>
      </c>
      <c r="F56" s="27"/>
    </row>
    <row r="57" customFormat="false" ht="57.75" hidden="false" customHeight="true" outlineLevel="0" collapsed="false">
      <c r="A57" s="23"/>
      <c r="B57" s="23"/>
      <c r="C57" s="24" t="s">
        <v>234</v>
      </c>
      <c r="D57" s="25"/>
      <c r="E57" s="26" t="s">
        <v>235</v>
      </c>
      <c r="F57" s="27"/>
    </row>
    <row r="58" customFormat="false" ht="57.75" hidden="false" customHeight="true" outlineLevel="0" collapsed="false">
      <c r="A58" s="23"/>
      <c r="B58" s="23"/>
      <c r="C58" s="24" t="s">
        <v>236</v>
      </c>
      <c r="D58" s="25"/>
      <c r="E58" s="26" t="s">
        <v>237</v>
      </c>
      <c r="F58" s="27"/>
    </row>
    <row r="59" customFormat="false" ht="57.75" hidden="false" customHeight="true" outlineLevel="0" collapsed="false">
      <c r="A59" s="23"/>
      <c r="B59" s="23"/>
      <c r="C59" s="24" t="s">
        <v>238</v>
      </c>
      <c r="D59" s="25"/>
      <c r="E59" s="26" t="s">
        <v>239</v>
      </c>
      <c r="F59" s="27"/>
    </row>
    <row r="60" customFormat="false" ht="57.75" hidden="false" customHeight="true" outlineLevel="0" collapsed="false">
      <c r="A60" s="23"/>
      <c r="B60" s="23"/>
      <c r="C60" s="24" t="s">
        <v>240</v>
      </c>
      <c r="D60" s="25"/>
      <c r="E60" s="26" t="s">
        <v>241</v>
      </c>
      <c r="F60" s="27"/>
    </row>
    <row r="61" customFormat="false" ht="57.75" hidden="false" customHeight="true" outlineLevel="0" collapsed="false">
      <c r="A61" s="23" t="s">
        <v>39</v>
      </c>
      <c r="B61" s="23" t="s">
        <v>242</v>
      </c>
      <c r="C61" s="24" t="s">
        <v>243</v>
      </c>
      <c r="D61" s="25"/>
      <c r="E61" s="26" t="s">
        <v>244</v>
      </c>
      <c r="F61" s="27"/>
    </row>
    <row r="62" customFormat="false" ht="57.75" hidden="false" customHeight="true" outlineLevel="0" collapsed="false">
      <c r="A62" s="23"/>
      <c r="B62" s="23"/>
      <c r="C62" s="24" t="s">
        <v>245</v>
      </c>
      <c r="D62" s="25"/>
      <c r="E62" s="26" t="s">
        <v>246</v>
      </c>
      <c r="F62" s="27"/>
    </row>
    <row r="63" customFormat="false" ht="57.75" hidden="false" customHeight="true" outlineLevel="0" collapsed="false">
      <c r="A63" s="23"/>
      <c r="B63" s="23"/>
      <c r="C63" s="24" t="s">
        <v>247</v>
      </c>
      <c r="D63" s="25"/>
      <c r="E63" s="26" t="s">
        <v>248</v>
      </c>
      <c r="F63" s="27"/>
    </row>
    <row r="64" customFormat="false" ht="57.75" hidden="false" customHeight="true" outlineLevel="0" collapsed="false">
      <c r="A64" s="23"/>
      <c r="B64" s="23"/>
      <c r="C64" s="24" t="s">
        <v>249</v>
      </c>
      <c r="D64" s="25"/>
      <c r="E64" s="26" t="s">
        <v>250</v>
      </c>
      <c r="F64" s="27"/>
    </row>
    <row r="65" customFormat="false" ht="57.75" hidden="false" customHeight="true" outlineLevel="0" collapsed="false">
      <c r="A65" s="23" t="s">
        <v>39</v>
      </c>
      <c r="B65" s="23" t="s">
        <v>251</v>
      </c>
      <c r="C65" s="24" t="s">
        <v>252</v>
      </c>
      <c r="D65" s="25"/>
      <c r="E65" s="26" t="s">
        <v>253</v>
      </c>
      <c r="F65" s="27"/>
    </row>
    <row r="66" customFormat="false" ht="57.75" hidden="false" customHeight="true" outlineLevel="0" collapsed="false">
      <c r="A66" s="23"/>
      <c r="B66" s="23"/>
      <c r="C66" s="24" t="s">
        <v>254</v>
      </c>
      <c r="D66" s="25"/>
      <c r="E66" s="26" t="s">
        <v>255</v>
      </c>
      <c r="F66" s="27"/>
    </row>
    <row r="67" customFormat="false" ht="57.75" hidden="false" customHeight="true" outlineLevel="0" collapsed="false">
      <c r="A67" s="23"/>
      <c r="B67" s="23"/>
      <c r="C67" s="24" t="s">
        <v>256</v>
      </c>
      <c r="D67" s="25"/>
      <c r="E67" s="26" t="s">
        <v>257</v>
      </c>
      <c r="F67" s="27"/>
    </row>
    <row r="68" customFormat="false" ht="57.75" hidden="false" customHeight="true" outlineLevel="0" collapsed="false">
      <c r="A68" s="23"/>
      <c r="B68" s="23"/>
      <c r="C68" s="24" t="s">
        <v>258</v>
      </c>
      <c r="D68" s="25"/>
      <c r="E68" s="26" t="s">
        <v>259</v>
      </c>
      <c r="F68" s="27"/>
    </row>
    <row r="69" customFormat="false" ht="57.75" hidden="false" customHeight="true" outlineLevel="0" collapsed="false">
      <c r="A69" s="23" t="s">
        <v>39</v>
      </c>
      <c r="B69" s="23" t="s">
        <v>260</v>
      </c>
      <c r="C69" s="24" t="s">
        <v>261</v>
      </c>
      <c r="D69" s="25"/>
      <c r="E69" s="26" t="s">
        <v>262</v>
      </c>
      <c r="F69" s="27"/>
    </row>
    <row r="70" customFormat="false" ht="57.75" hidden="false" customHeight="true" outlineLevel="0" collapsed="false">
      <c r="A70" s="23"/>
      <c r="B70" s="23"/>
      <c r="C70" s="24" t="s">
        <v>263</v>
      </c>
      <c r="D70" s="25"/>
      <c r="E70" s="26" t="s">
        <v>264</v>
      </c>
      <c r="F70" s="27"/>
    </row>
    <row r="71" customFormat="false" ht="57.75" hidden="false" customHeight="true" outlineLevel="0" collapsed="false">
      <c r="A71" s="23"/>
      <c r="B71" s="23"/>
      <c r="C71" s="24" t="s">
        <v>265</v>
      </c>
      <c r="D71" s="25"/>
      <c r="E71" s="26" t="s">
        <v>266</v>
      </c>
      <c r="F71" s="27"/>
    </row>
    <row r="72" customFormat="false" ht="57.75" hidden="false" customHeight="true" outlineLevel="0" collapsed="false">
      <c r="A72" s="23"/>
      <c r="B72" s="23"/>
      <c r="C72" s="24" t="s">
        <v>267</v>
      </c>
      <c r="D72" s="25"/>
      <c r="E72" s="26" t="s">
        <v>268</v>
      </c>
      <c r="F72" s="27"/>
    </row>
    <row r="73" customFormat="false" ht="57.75" hidden="false" customHeight="true" outlineLevel="0" collapsed="false">
      <c r="A73" s="23" t="s">
        <v>39</v>
      </c>
      <c r="B73" s="23" t="s">
        <v>269</v>
      </c>
      <c r="C73" s="24" t="s">
        <v>270</v>
      </c>
      <c r="D73" s="25"/>
      <c r="E73" s="26" t="s">
        <v>271</v>
      </c>
      <c r="F73" s="27"/>
    </row>
    <row r="74" customFormat="false" ht="57.75" hidden="false" customHeight="true" outlineLevel="0" collapsed="false">
      <c r="A74" s="23"/>
      <c r="B74" s="23"/>
      <c r="C74" s="24" t="s">
        <v>272</v>
      </c>
      <c r="D74" s="25"/>
      <c r="E74" s="26" t="s">
        <v>273</v>
      </c>
      <c r="F74" s="27"/>
    </row>
    <row r="75" customFormat="false" ht="57.75" hidden="false" customHeight="true" outlineLevel="0" collapsed="false">
      <c r="A75" s="23"/>
      <c r="B75" s="23"/>
      <c r="C75" s="24" t="s">
        <v>274</v>
      </c>
      <c r="D75" s="25"/>
      <c r="E75" s="26" t="s">
        <v>275</v>
      </c>
      <c r="F75" s="27"/>
    </row>
    <row r="76" customFormat="false" ht="57.75" hidden="false" customHeight="true" outlineLevel="0" collapsed="false">
      <c r="A76" s="23"/>
      <c r="B76" s="23"/>
      <c r="C76" s="24" t="s">
        <v>276</v>
      </c>
      <c r="D76" s="25"/>
      <c r="E76" s="26" t="s">
        <v>277</v>
      </c>
      <c r="F76" s="27"/>
    </row>
    <row r="77" customFormat="false" ht="57.75" hidden="false" customHeight="true" outlineLevel="0" collapsed="false">
      <c r="A77" s="23" t="s">
        <v>39</v>
      </c>
      <c r="B77" s="23" t="s">
        <v>278</v>
      </c>
      <c r="C77" s="24" t="s">
        <v>279</v>
      </c>
      <c r="D77" s="25"/>
      <c r="E77" s="26" t="s">
        <v>280</v>
      </c>
      <c r="F77" s="27"/>
    </row>
    <row r="78" customFormat="false" ht="57.75" hidden="false" customHeight="true" outlineLevel="0" collapsed="false">
      <c r="A78" s="23"/>
      <c r="B78" s="23"/>
      <c r="C78" s="24" t="s">
        <v>281</v>
      </c>
      <c r="D78" s="25"/>
      <c r="E78" s="26" t="s">
        <v>282</v>
      </c>
      <c r="F78" s="27"/>
    </row>
    <row r="79" customFormat="false" ht="57.75" hidden="false" customHeight="true" outlineLevel="0" collapsed="false">
      <c r="A79" s="23"/>
      <c r="B79" s="23"/>
      <c r="C79" s="24" t="s">
        <v>283</v>
      </c>
      <c r="D79" s="25"/>
      <c r="E79" s="26" t="s">
        <v>284</v>
      </c>
      <c r="F79" s="27"/>
    </row>
    <row r="80" customFormat="false" ht="57.75" hidden="false" customHeight="true" outlineLevel="0" collapsed="false">
      <c r="A80" s="23" t="s">
        <v>39</v>
      </c>
      <c r="B80" s="23" t="s">
        <v>285</v>
      </c>
      <c r="C80" s="24" t="s">
        <v>286</v>
      </c>
      <c r="D80" s="25"/>
      <c r="E80" s="26" t="s">
        <v>287</v>
      </c>
      <c r="F80" s="27"/>
    </row>
    <row r="81" customFormat="false" ht="57.75" hidden="false" customHeight="true" outlineLevel="0" collapsed="false">
      <c r="A81" s="23"/>
      <c r="B81" s="23"/>
      <c r="C81" s="24" t="s">
        <v>288</v>
      </c>
      <c r="D81" s="25"/>
      <c r="E81" s="26" t="s">
        <v>289</v>
      </c>
      <c r="F81" s="27"/>
    </row>
    <row r="82" customFormat="false" ht="57.75" hidden="false" customHeight="true" outlineLevel="0" collapsed="false">
      <c r="A82" s="23"/>
      <c r="B82" s="23"/>
      <c r="C82" s="24" t="s">
        <v>290</v>
      </c>
      <c r="D82" s="25"/>
      <c r="E82" s="26" t="s">
        <v>291</v>
      </c>
      <c r="F82" s="27"/>
    </row>
    <row r="83" customFormat="false" ht="57.75" hidden="false" customHeight="true" outlineLevel="0" collapsed="false">
      <c r="A83" s="23" t="s">
        <v>39</v>
      </c>
      <c r="B83" s="23" t="s">
        <v>292</v>
      </c>
      <c r="C83" s="24" t="s">
        <v>293</v>
      </c>
      <c r="D83" s="25"/>
      <c r="E83" s="26" t="s">
        <v>294</v>
      </c>
      <c r="F83" s="27"/>
    </row>
    <row r="84" customFormat="false" ht="57.75" hidden="false" customHeight="true" outlineLevel="0" collapsed="false">
      <c r="A84" s="23"/>
      <c r="B84" s="23"/>
      <c r="C84" s="24" t="s">
        <v>295</v>
      </c>
      <c r="D84" s="25"/>
      <c r="E84" s="26" t="s">
        <v>296</v>
      </c>
      <c r="F84" s="27"/>
    </row>
    <row r="85" customFormat="false" ht="57.75" hidden="false" customHeight="true" outlineLevel="0" collapsed="false">
      <c r="A85" s="23"/>
      <c r="B85" s="23"/>
      <c r="C85" s="24" t="s">
        <v>297</v>
      </c>
      <c r="D85" s="25"/>
      <c r="E85" s="26" t="s">
        <v>298</v>
      </c>
      <c r="F85" s="27"/>
    </row>
    <row r="86" customFormat="false" ht="19.5" hidden="false" customHeight="true" outlineLevel="0" collapsed="false">
      <c r="A86" s="22" t="s">
        <v>299</v>
      </c>
      <c r="B86" s="22"/>
      <c r="C86" s="22"/>
      <c r="D86" s="22"/>
      <c r="E86" s="22"/>
      <c r="F86" s="22"/>
    </row>
    <row r="87" customFormat="false" ht="57.75" hidden="false" customHeight="true" outlineLevel="0" collapsed="false">
      <c r="A87" s="23" t="s">
        <v>41</v>
      </c>
      <c r="B87" s="23" t="s">
        <v>300</v>
      </c>
      <c r="C87" s="24" t="s">
        <v>301</v>
      </c>
      <c r="D87" s="25"/>
      <c r="E87" s="26" t="s">
        <v>302</v>
      </c>
      <c r="F87" s="27"/>
    </row>
    <row r="88" customFormat="false" ht="57.75" hidden="false" customHeight="true" outlineLevel="0" collapsed="false">
      <c r="A88" s="23"/>
      <c r="B88" s="23"/>
      <c r="C88" s="24" t="s">
        <v>303</v>
      </c>
      <c r="D88" s="25"/>
      <c r="E88" s="26" t="s">
        <v>304</v>
      </c>
      <c r="F88" s="27"/>
    </row>
    <row r="89" customFormat="false" ht="19.5" hidden="false" customHeight="true" outlineLevel="0" collapsed="false">
      <c r="A89" s="22" t="s">
        <v>305</v>
      </c>
      <c r="B89" s="22"/>
      <c r="C89" s="22"/>
      <c r="D89" s="22"/>
      <c r="E89" s="22"/>
      <c r="F89" s="22"/>
    </row>
    <row r="90" customFormat="false" ht="57.75" hidden="false" customHeight="true" outlineLevel="0" collapsed="false">
      <c r="A90" s="23" t="s">
        <v>43</v>
      </c>
      <c r="B90" s="23" t="s">
        <v>306</v>
      </c>
      <c r="C90" s="24" t="s">
        <v>307</v>
      </c>
      <c r="D90" s="25"/>
      <c r="E90" s="26" t="s">
        <v>308</v>
      </c>
      <c r="F90" s="27"/>
    </row>
    <row r="91" customFormat="false" ht="57.75" hidden="false" customHeight="true" outlineLevel="0" collapsed="false">
      <c r="A91" s="23"/>
      <c r="B91" s="23"/>
      <c r="C91" s="24" t="s">
        <v>309</v>
      </c>
      <c r="D91" s="25"/>
      <c r="E91" s="26" t="s">
        <v>310</v>
      </c>
      <c r="F91" s="27"/>
    </row>
    <row r="92" customFormat="false" ht="57.75" hidden="false" customHeight="true" outlineLevel="0" collapsed="false">
      <c r="A92" s="23"/>
      <c r="B92" s="23"/>
      <c r="C92" s="24" t="s">
        <v>311</v>
      </c>
      <c r="D92" s="25"/>
      <c r="E92" s="26" t="s">
        <v>312</v>
      </c>
      <c r="F92" s="27"/>
    </row>
    <row r="93" customFormat="false" ht="57.75" hidden="false" customHeight="true" outlineLevel="0" collapsed="false">
      <c r="A93" s="23"/>
      <c r="B93" s="23"/>
      <c r="C93" s="24" t="s">
        <v>313</v>
      </c>
      <c r="D93" s="25"/>
      <c r="E93" s="26" t="s">
        <v>314</v>
      </c>
      <c r="F93" s="27"/>
    </row>
    <row r="94" customFormat="false" ht="57.75" hidden="false" customHeight="true" outlineLevel="0" collapsed="false">
      <c r="A94" s="23"/>
      <c r="B94" s="23"/>
      <c r="C94" s="24" t="s">
        <v>315</v>
      </c>
      <c r="D94" s="25"/>
      <c r="E94" s="26" t="s">
        <v>316</v>
      </c>
      <c r="F94" s="27"/>
    </row>
    <row r="95" customFormat="false" ht="57.75" hidden="false" customHeight="true" outlineLevel="0" collapsed="false">
      <c r="A95" s="23"/>
      <c r="B95" s="23"/>
      <c r="C95" s="24" t="s">
        <v>317</v>
      </c>
      <c r="D95" s="25"/>
      <c r="E95" s="26" t="s">
        <v>318</v>
      </c>
      <c r="F95" s="27"/>
    </row>
    <row r="96" customFormat="false" ht="57.75" hidden="false" customHeight="true" outlineLevel="0" collapsed="false">
      <c r="A96" s="23" t="s">
        <v>43</v>
      </c>
      <c r="B96" s="23" t="s">
        <v>319</v>
      </c>
      <c r="C96" s="24" t="s">
        <v>320</v>
      </c>
      <c r="D96" s="25"/>
      <c r="E96" s="26" t="s">
        <v>321</v>
      </c>
      <c r="F96" s="27"/>
    </row>
    <row r="97" customFormat="false" ht="57.75" hidden="false" customHeight="true" outlineLevel="0" collapsed="false">
      <c r="A97" s="23"/>
      <c r="B97" s="23"/>
      <c r="C97" s="24" t="s">
        <v>322</v>
      </c>
      <c r="D97" s="25"/>
      <c r="E97" s="26" t="s">
        <v>323</v>
      </c>
      <c r="F97" s="27"/>
    </row>
    <row r="98" customFormat="false" ht="57.75" hidden="false" customHeight="true" outlineLevel="0" collapsed="false">
      <c r="A98" s="23"/>
      <c r="B98" s="23"/>
      <c r="C98" s="24" t="s">
        <v>324</v>
      </c>
      <c r="D98" s="25"/>
      <c r="E98" s="26" t="s">
        <v>325</v>
      </c>
      <c r="F98" s="27"/>
    </row>
    <row r="99" customFormat="false" ht="57.75" hidden="false" customHeight="true" outlineLevel="0" collapsed="false">
      <c r="A99" s="23" t="s">
        <v>43</v>
      </c>
      <c r="B99" s="23" t="s">
        <v>326</v>
      </c>
      <c r="C99" s="24" t="s">
        <v>327</v>
      </c>
      <c r="D99" s="25"/>
      <c r="E99" s="26" t="s">
        <v>328</v>
      </c>
      <c r="F99" s="27"/>
    </row>
    <row r="100" customFormat="false" ht="57.75" hidden="false" customHeight="true" outlineLevel="0" collapsed="false">
      <c r="A100" s="23"/>
      <c r="B100" s="23"/>
      <c r="C100" s="24" t="s">
        <v>329</v>
      </c>
      <c r="D100" s="25"/>
      <c r="E100" s="26" t="s">
        <v>330</v>
      </c>
      <c r="F100" s="27"/>
    </row>
    <row r="101" customFormat="false" ht="57.75" hidden="false" customHeight="true" outlineLevel="0" collapsed="false">
      <c r="A101" s="23"/>
      <c r="B101" s="23"/>
      <c r="C101" s="24" t="s">
        <v>331</v>
      </c>
      <c r="D101" s="25"/>
      <c r="E101" s="26" t="s">
        <v>332</v>
      </c>
      <c r="F101" s="27"/>
    </row>
    <row r="102" customFormat="false" ht="57.75" hidden="false" customHeight="true" outlineLevel="0" collapsed="false">
      <c r="A102" s="23"/>
      <c r="B102" s="23"/>
      <c r="C102" s="24" t="s">
        <v>333</v>
      </c>
      <c r="D102" s="25"/>
      <c r="E102" s="26" t="s">
        <v>334</v>
      </c>
      <c r="F102" s="27"/>
    </row>
    <row r="103" customFormat="false" ht="57.75" hidden="false" customHeight="true" outlineLevel="0" collapsed="false">
      <c r="A103" s="23"/>
      <c r="B103" s="23"/>
      <c r="C103" s="24" t="s">
        <v>335</v>
      </c>
      <c r="D103" s="25"/>
      <c r="E103" s="26" t="s">
        <v>336</v>
      </c>
      <c r="F103" s="27"/>
    </row>
    <row r="104" customFormat="false" ht="57.75" hidden="false" customHeight="true" outlineLevel="0" collapsed="false">
      <c r="A104" s="23"/>
      <c r="B104" s="23"/>
      <c r="C104" s="24" t="s">
        <v>337</v>
      </c>
      <c r="D104" s="25"/>
      <c r="E104" s="26" t="s">
        <v>338</v>
      </c>
      <c r="F104" s="27"/>
    </row>
    <row r="105" customFormat="false" ht="19.5" hidden="false" customHeight="true" outlineLevel="0" collapsed="false">
      <c r="A105" s="22" t="s">
        <v>339</v>
      </c>
      <c r="B105" s="22"/>
      <c r="C105" s="22"/>
      <c r="D105" s="22"/>
      <c r="E105" s="22"/>
      <c r="F105" s="22"/>
    </row>
    <row r="106" customFormat="false" ht="57.75" hidden="false" customHeight="true" outlineLevel="0" collapsed="false">
      <c r="A106" s="23" t="s">
        <v>45</v>
      </c>
      <c r="B106" s="23" t="s">
        <v>340</v>
      </c>
      <c r="C106" s="24" t="s">
        <v>341</v>
      </c>
      <c r="D106" s="25"/>
      <c r="E106" s="26" t="s">
        <v>342</v>
      </c>
      <c r="F106" s="27"/>
    </row>
    <row r="107" customFormat="false" ht="57.75" hidden="false" customHeight="true" outlineLevel="0" collapsed="false">
      <c r="A107" s="23"/>
      <c r="B107" s="23"/>
      <c r="C107" s="24" t="s">
        <v>343</v>
      </c>
      <c r="D107" s="25"/>
      <c r="E107" s="26" t="s">
        <v>344</v>
      </c>
      <c r="F107" s="27"/>
    </row>
    <row r="108" customFormat="false" ht="57.75" hidden="false" customHeight="true" outlineLevel="0" collapsed="false">
      <c r="A108" s="23"/>
      <c r="B108" s="23"/>
      <c r="C108" s="24" t="s">
        <v>345</v>
      </c>
      <c r="D108" s="25"/>
      <c r="E108" s="26" t="s">
        <v>346</v>
      </c>
      <c r="F108" s="27"/>
    </row>
    <row r="109" customFormat="false" ht="57.75" hidden="false" customHeight="true" outlineLevel="0" collapsed="false">
      <c r="A109" s="23"/>
      <c r="B109" s="23"/>
      <c r="C109" s="24" t="s">
        <v>347</v>
      </c>
      <c r="D109" s="25"/>
      <c r="E109" s="26" t="s">
        <v>348</v>
      </c>
      <c r="F109" s="27"/>
    </row>
    <row r="110" customFormat="false" ht="57.75" hidden="false" customHeight="true" outlineLevel="0" collapsed="false">
      <c r="A110" s="23"/>
      <c r="B110" s="23"/>
      <c r="C110" s="24" t="s">
        <v>349</v>
      </c>
      <c r="D110" s="25"/>
      <c r="E110" s="26" t="s">
        <v>350</v>
      </c>
      <c r="F110" s="27"/>
    </row>
    <row r="111" customFormat="false" ht="57.75" hidden="false" customHeight="true" outlineLevel="0" collapsed="false">
      <c r="A111" s="23"/>
      <c r="B111" s="23"/>
      <c r="C111" s="24" t="s">
        <v>351</v>
      </c>
      <c r="D111" s="25"/>
      <c r="E111" s="26" t="s">
        <v>352</v>
      </c>
      <c r="F111" s="27"/>
    </row>
    <row r="112" customFormat="false" ht="57.75" hidden="false" customHeight="true" outlineLevel="0" collapsed="false">
      <c r="A112" s="23"/>
      <c r="B112" s="23"/>
      <c r="C112" s="24" t="s">
        <v>353</v>
      </c>
      <c r="D112" s="25"/>
      <c r="E112" s="26" t="s">
        <v>354</v>
      </c>
      <c r="F112" s="27"/>
    </row>
    <row r="113" customFormat="false" ht="57.75" hidden="false" customHeight="true" outlineLevel="0" collapsed="false">
      <c r="A113" s="23"/>
      <c r="B113" s="23"/>
      <c r="C113" s="24" t="s">
        <v>355</v>
      </c>
      <c r="D113" s="25"/>
      <c r="E113" s="26" t="s">
        <v>356</v>
      </c>
      <c r="F113" s="27"/>
    </row>
    <row r="115" customFormat="false" ht="24" hidden="false" customHeight="true" outlineLevel="0" collapsed="false">
      <c r="A115" s="28" t="s">
        <v>357</v>
      </c>
      <c r="B115" s="28"/>
      <c r="C115" s="28"/>
      <c r="D115" s="28"/>
      <c r="E115" s="28"/>
      <c r="F115" s="28"/>
    </row>
    <row r="116" customFormat="false" ht="23.85" hidden="false" customHeight="false" outlineLevel="0" collapsed="false">
      <c r="A116" s="15" t="s">
        <v>115</v>
      </c>
      <c r="B116" s="15" t="s">
        <v>28</v>
      </c>
      <c r="C116" s="15" t="s">
        <v>358</v>
      </c>
      <c r="D116" s="15" t="s">
        <v>109</v>
      </c>
      <c r="E116" s="15" t="s">
        <v>110</v>
      </c>
      <c r="F116" s="15" t="s">
        <v>111</v>
      </c>
    </row>
    <row r="117" customFormat="false" ht="15" hidden="false" customHeight="false" outlineLevel="0" collapsed="false">
      <c r="A117" s="29" t="s">
        <v>33</v>
      </c>
      <c r="B117" s="30" t="s">
        <v>359</v>
      </c>
      <c r="C117" s="31" t="n">
        <v>11</v>
      </c>
      <c r="D117" s="32" t="n">
        <f aca="false">SUMPRODUCT((D6:D16&lt;&gt;"TDD")*IFERROR(D6:D16,0))</f>
        <v>0</v>
      </c>
      <c r="E117" s="32" t="n">
        <f aca="false">COUNTIF(D6:D16,"&lt;&gt;TDD")*10</f>
        <v>110</v>
      </c>
      <c r="F117" s="33" t="n">
        <f aca="false">IFERROR(D117/E117,0)</f>
        <v>0</v>
      </c>
    </row>
    <row r="118" customFormat="false" ht="15" hidden="false" customHeight="false" outlineLevel="0" collapsed="false">
      <c r="A118" s="29" t="s">
        <v>35</v>
      </c>
      <c r="B118" s="30" t="s">
        <v>360</v>
      </c>
      <c r="C118" s="31" t="n">
        <v>16</v>
      </c>
      <c r="D118" s="32" t="n">
        <f aca="false">SUMPRODUCT((D18:D33&lt;&gt;"TDD")*IFERROR(D18:D33,0))</f>
        <v>0</v>
      </c>
      <c r="E118" s="32" t="n">
        <f aca="false">COUNTIF(D18:D33,"&lt;&gt;TDD")*10</f>
        <v>160</v>
      </c>
      <c r="F118" s="33" t="n">
        <f aca="false">IFERROR(D118/E118,0)</f>
        <v>0</v>
      </c>
    </row>
    <row r="119" customFormat="false" ht="15" hidden="false" customHeight="false" outlineLevel="0" collapsed="false">
      <c r="A119" s="29" t="s">
        <v>37</v>
      </c>
      <c r="B119" s="30" t="s">
        <v>361</v>
      </c>
      <c r="C119" s="31" t="n">
        <v>20</v>
      </c>
      <c r="D119" s="32" t="n">
        <f aca="false">SUMPRODUCT((D35:D54&lt;&gt;"TDD")*IFERROR(D35:D54,0))</f>
        <v>0</v>
      </c>
      <c r="E119" s="32" t="n">
        <f aca="false">COUNTIF(D35:D54,"&lt;&gt;TDD")*10</f>
        <v>200</v>
      </c>
      <c r="F119" s="33" t="n">
        <f aca="false">IFERROR(D119/E119,0)</f>
        <v>0</v>
      </c>
    </row>
    <row r="120" customFormat="false" ht="15" hidden="false" customHeight="false" outlineLevel="0" collapsed="false">
      <c r="A120" s="29" t="s">
        <v>39</v>
      </c>
      <c r="B120" s="30" t="s">
        <v>362</v>
      </c>
      <c r="C120" s="31" t="n">
        <v>30</v>
      </c>
      <c r="D120" s="32" t="n">
        <f aca="false">SUMPRODUCT((D56:D85&lt;&gt;"TDD")*IFERROR(D56:D85,0))</f>
        <v>0</v>
      </c>
      <c r="E120" s="32" t="n">
        <f aca="false">COUNTIF(D56:D85,"&lt;&gt;TDD")*10</f>
        <v>300</v>
      </c>
      <c r="F120" s="33" t="n">
        <f aca="false">IFERROR(D120/E120,0)</f>
        <v>0</v>
      </c>
    </row>
    <row r="121" customFormat="false" ht="15" hidden="false" customHeight="false" outlineLevel="0" collapsed="false">
      <c r="A121" s="29" t="s">
        <v>41</v>
      </c>
      <c r="B121" s="30" t="s">
        <v>363</v>
      </c>
      <c r="C121" s="31" t="n">
        <v>2</v>
      </c>
      <c r="D121" s="32" t="n">
        <f aca="false">SUMPRODUCT((D87:D88&lt;&gt;"TDD")*IFERROR(D87:D88,0))</f>
        <v>0</v>
      </c>
      <c r="E121" s="32" t="n">
        <f aca="false">COUNTIF(D87:D88,"&lt;&gt;TDD")*10</f>
        <v>20</v>
      </c>
      <c r="F121" s="33" t="n">
        <f aca="false">IFERROR(D121/E121,0)</f>
        <v>0</v>
      </c>
    </row>
    <row r="122" customFormat="false" ht="15" hidden="false" customHeight="false" outlineLevel="0" collapsed="false">
      <c r="A122" s="29" t="s">
        <v>43</v>
      </c>
      <c r="B122" s="30" t="s">
        <v>364</v>
      </c>
      <c r="C122" s="31" t="n">
        <v>15</v>
      </c>
      <c r="D122" s="32" t="n">
        <f aca="false">SUMPRODUCT((D90:D104&lt;&gt;"TDD")*IFERROR(D90:D104,0))</f>
        <v>0</v>
      </c>
      <c r="E122" s="32" t="n">
        <f aca="false">COUNTIF(D90:D104,"&lt;&gt;TDD")*10</f>
        <v>150</v>
      </c>
      <c r="F122" s="33" t="n">
        <f aca="false">IFERROR(D122/E122,0)</f>
        <v>0</v>
      </c>
    </row>
    <row r="123" customFormat="false" ht="15" hidden="false" customHeight="false" outlineLevel="0" collapsed="false">
      <c r="A123" s="29" t="s">
        <v>45</v>
      </c>
      <c r="B123" s="30" t="s">
        <v>365</v>
      </c>
      <c r="C123" s="31" t="n">
        <v>8</v>
      </c>
      <c r="D123" s="32" t="n">
        <f aca="false">SUMPRODUCT((D106:D113&lt;&gt;"TDD")*IFERROR(D106:D113,0))</f>
        <v>0</v>
      </c>
      <c r="E123" s="32" t="n">
        <f aca="false">COUNTIF(D106:D113,"&lt;&gt;TDD")*10</f>
        <v>80</v>
      </c>
      <c r="F123" s="33" t="n">
        <f aca="false">IFERROR(D123/E123,0)</f>
        <v>0</v>
      </c>
    </row>
    <row r="124" customFormat="false" ht="15" hidden="false" customHeight="false" outlineLevel="0" collapsed="false">
      <c r="A124" s="34" t="s">
        <v>366</v>
      </c>
      <c r="B124" s="34"/>
      <c r="C124" s="35" t="n">
        <f aca="false">SUM(C117:C123)</f>
        <v>102</v>
      </c>
      <c r="D124" s="36" t="n">
        <f aca="false">SUM(D117:D123)</f>
        <v>0</v>
      </c>
      <c r="E124" s="36" t="n">
        <f aca="false">SUM(E117:E123)</f>
        <v>1020</v>
      </c>
      <c r="F124" s="37" t="n">
        <f aca="false">IFERROR(D124/E124,0)</f>
        <v>0</v>
      </c>
    </row>
  </sheetData>
  <mergeCells count="11">
    <mergeCell ref="A1:F1"/>
    <mergeCell ref="A2:F2"/>
    <mergeCell ref="A5:F5"/>
    <mergeCell ref="A17:F17"/>
    <mergeCell ref="A34:F34"/>
    <mergeCell ref="A55:F55"/>
    <mergeCell ref="A86:F86"/>
    <mergeCell ref="A89:F89"/>
    <mergeCell ref="A105:F105"/>
    <mergeCell ref="A115:F115"/>
    <mergeCell ref="A124:B124"/>
  </mergeCells>
  <dataValidations count="1">
    <dataValidation allowBlank="true" error="Nilai harus 0, 5, 10, atau TDD (Tidak Dapat Dinilai)." errorStyle="stop" errorTitle="Error" operator="between" showDropDown="false" showErrorMessage="true" showInputMessage="false" sqref="D6:D16 D18:D33 D35:D54 D56:D85 D87:D88 D90:D104 D106:D113"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48"/>
    <col collapsed="false" customWidth="true" hidden="false" outlineLevel="0" max="4" min="4" style="0" width="10"/>
    <col collapsed="false" customWidth="true" hidden="false" outlineLevel="0" max="5" min="5" style="0" width="32"/>
    <col collapsed="false" customWidth="true" hidden="false" outlineLevel="0" max="6" min="6" style="0" width="30"/>
  </cols>
  <sheetData>
    <row r="1" customFormat="false" ht="24" hidden="false" customHeight="true" outlineLevel="0" collapsed="false">
      <c r="A1" s="19" t="s">
        <v>367</v>
      </c>
      <c r="B1" s="19"/>
      <c r="C1" s="19"/>
      <c r="D1" s="19"/>
      <c r="E1" s="19"/>
      <c r="F1" s="19"/>
    </row>
    <row r="2" customFormat="false" ht="30" hidden="false" customHeight="true" outlineLevel="0" collapsed="false">
      <c r="A2" s="20" t="s">
        <v>114</v>
      </c>
      <c r="B2" s="20"/>
      <c r="C2" s="20"/>
      <c r="D2" s="20"/>
      <c r="E2" s="20"/>
      <c r="F2" s="20"/>
    </row>
    <row r="4" customFormat="false" ht="27.75" hidden="false" customHeight="true" outlineLevel="0" collapsed="false">
      <c r="A4" s="21" t="s">
        <v>115</v>
      </c>
      <c r="B4" s="21" t="s">
        <v>116</v>
      </c>
      <c r="C4" s="21" t="s">
        <v>117</v>
      </c>
      <c r="D4" s="21" t="s">
        <v>118</v>
      </c>
      <c r="E4" s="21" t="s">
        <v>119</v>
      </c>
      <c r="F4" s="21" t="s">
        <v>31</v>
      </c>
    </row>
    <row r="5" customFormat="false" ht="19.5" hidden="false" customHeight="true" outlineLevel="0" collapsed="false">
      <c r="A5" s="22" t="s">
        <v>368</v>
      </c>
      <c r="B5" s="22"/>
      <c r="C5" s="22"/>
      <c r="D5" s="22"/>
      <c r="E5" s="22"/>
      <c r="F5" s="22"/>
    </row>
    <row r="6" customFormat="false" ht="57.75" hidden="false" customHeight="true" outlineLevel="0" collapsed="false">
      <c r="A6" s="23" t="s">
        <v>48</v>
      </c>
      <c r="B6" s="23" t="s">
        <v>369</v>
      </c>
      <c r="C6" s="24" t="s">
        <v>370</v>
      </c>
      <c r="D6" s="25"/>
      <c r="E6" s="26" t="s">
        <v>371</v>
      </c>
      <c r="F6" s="27"/>
    </row>
    <row r="7" customFormat="false" ht="57.75" hidden="false" customHeight="true" outlineLevel="0" collapsed="false">
      <c r="A7" s="23"/>
      <c r="B7" s="23"/>
      <c r="C7" s="24" t="s">
        <v>372</v>
      </c>
      <c r="D7" s="25"/>
      <c r="E7" s="26" t="s">
        <v>373</v>
      </c>
      <c r="F7" s="27"/>
    </row>
    <row r="8" customFormat="false" ht="57.75" hidden="false" customHeight="true" outlineLevel="0" collapsed="false">
      <c r="A8" s="23"/>
      <c r="B8" s="23"/>
      <c r="C8" s="24" t="s">
        <v>374</v>
      </c>
      <c r="D8" s="25"/>
      <c r="E8" s="26" t="s">
        <v>375</v>
      </c>
      <c r="F8" s="27"/>
    </row>
    <row r="9" customFormat="false" ht="57.75" hidden="false" customHeight="true" outlineLevel="0" collapsed="false">
      <c r="A9" s="23"/>
      <c r="B9" s="23"/>
      <c r="C9" s="24" t="s">
        <v>376</v>
      </c>
      <c r="D9" s="25"/>
      <c r="E9" s="26" t="s">
        <v>377</v>
      </c>
      <c r="F9" s="27"/>
    </row>
    <row r="10" customFormat="false" ht="57.75" hidden="false" customHeight="true" outlineLevel="0" collapsed="false">
      <c r="A10" s="23" t="s">
        <v>48</v>
      </c>
      <c r="B10" s="23" t="s">
        <v>378</v>
      </c>
      <c r="C10" s="24" t="s">
        <v>379</v>
      </c>
      <c r="D10" s="25"/>
      <c r="E10" s="26" t="s">
        <v>380</v>
      </c>
      <c r="F10" s="27"/>
    </row>
    <row r="11" customFormat="false" ht="57.75" hidden="false" customHeight="true" outlineLevel="0" collapsed="false">
      <c r="A11" s="23"/>
      <c r="B11" s="23"/>
      <c r="C11" s="24" t="s">
        <v>381</v>
      </c>
      <c r="D11" s="25"/>
      <c r="E11" s="26" t="s">
        <v>382</v>
      </c>
      <c r="F11" s="27"/>
    </row>
    <row r="12" customFormat="false" ht="57.75" hidden="false" customHeight="true" outlineLevel="0" collapsed="false">
      <c r="A12" s="23"/>
      <c r="B12" s="23"/>
      <c r="C12" s="24" t="s">
        <v>383</v>
      </c>
      <c r="D12" s="25"/>
      <c r="E12" s="26" t="s">
        <v>384</v>
      </c>
      <c r="F12" s="27"/>
    </row>
    <row r="13" customFormat="false" ht="57.75" hidden="false" customHeight="true" outlineLevel="0" collapsed="false">
      <c r="A13" s="23" t="s">
        <v>48</v>
      </c>
      <c r="B13" s="23" t="s">
        <v>385</v>
      </c>
      <c r="C13" s="24" t="s">
        <v>386</v>
      </c>
      <c r="D13" s="25"/>
      <c r="E13" s="26" t="s">
        <v>387</v>
      </c>
      <c r="F13" s="27"/>
    </row>
    <row r="14" customFormat="false" ht="57.75" hidden="false" customHeight="true" outlineLevel="0" collapsed="false">
      <c r="A14" s="23"/>
      <c r="B14" s="23"/>
      <c r="C14" s="24" t="s">
        <v>388</v>
      </c>
      <c r="D14" s="25"/>
      <c r="E14" s="26" t="s">
        <v>389</v>
      </c>
      <c r="F14" s="27"/>
    </row>
    <row r="15" customFormat="false" ht="57.75" hidden="false" customHeight="true" outlineLevel="0" collapsed="false">
      <c r="A15" s="23"/>
      <c r="B15" s="23"/>
      <c r="C15" s="24" t="s">
        <v>390</v>
      </c>
      <c r="D15" s="25"/>
      <c r="E15" s="26" t="s">
        <v>391</v>
      </c>
      <c r="F15" s="27"/>
    </row>
    <row r="16" customFormat="false" ht="57.75" hidden="false" customHeight="true" outlineLevel="0" collapsed="false">
      <c r="A16" s="23"/>
      <c r="B16" s="23"/>
      <c r="C16" s="24" t="s">
        <v>392</v>
      </c>
      <c r="D16" s="25"/>
      <c r="E16" s="26" t="s">
        <v>393</v>
      </c>
      <c r="F16" s="27"/>
    </row>
    <row r="17" customFormat="false" ht="19.5" hidden="false" customHeight="true" outlineLevel="0" collapsed="false">
      <c r="A17" s="22" t="s">
        <v>394</v>
      </c>
      <c r="B17" s="22"/>
      <c r="C17" s="22"/>
      <c r="D17" s="22"/>
      <c r="E17" s="22"/>
      <c r="F17" s="22"/>
    </row>
    <row r="18" customFormat="false" ht="57.75" hidden="false" customHeight="true" outlineLevel="0" collapsed="false">
      <c r="A18" s="23" t="s">
        <v>50</v>
      </c>
      <c r="B18" s="23" t="s">
        <v>395</v>
      </c>
      <c r="C18" s="24" t="s">
        <v>396</v>
      </c>
      <c r="D18" s="25"/>
      <c r="E18" s="26" t="s">
        <v>397</v>
      </c>
      <c r="F18" s="27"/>
    </row>
    <row r="19" customFormat="false" ht="57.75" hidden="false" customHeight="true" outlineLevel="0" collapsed="false">
      <c r="A19" s="23"/>
      <c r="B19" s="23"/>
      <c r="C19" s="24" t="s">
        <v>398</v>
      </c>
      <c r="D19" s="25"/>
      <c r="E19" s="26" t="s">
        <v>399</v>
      </c>
      <c r="F19" s="27"/>
    </row>
    <row r="20" customFormat="false" ht="57.75" hidden="false" customHeight="true" outlineLevel="0" collapsed="false">
      <c r="A20" s="23"/>
      <c r="B20" s="23"/>
      <c r="C20" s="24" t="s">
        <v>400</v>
      </c>
      <c r="D20" s="25"/>
      <c r="E20" s="26" t="s">
        <v>401</v>
      </c>
      <c r="F20" s="27"/>
    </row>
    <row r="21" customFormat="false" ht="57.75" hidden="false" customHeight="true" outlineLevel="0" collapsed="false">
      <c r="A21" s="23" t="s">
        <v>50</v>
      </c>
      <c r="B21" s="23" t="s">
        <v>402</v>
      </c>
      <c r="C21" s="24" t="s">
        <v>403</v>
      </c>
      <c r="D21" s="25"/>
      <c r="E21" s="26" t="s">
        <v>404</v>
      </c>
      <c r="F21" s="27"/>
    </row>
    <row r="22" customFormat="false" ht="57.75" hidden="false" customHeight="true" outlineLevel="0" collapsed="false">
      <c r="A22" s="23"/>
      <c r="B22" s="23"/>
      <c r="C22" s="24" t="s">
        <v>405</v>
      </c>
      <c r="D22" s="25"/>
      <c r="E22" s="26" t="s">
        <v>406</v>
      </c>
      <c r="F22" s="27"/>
    </row>
    <row r="23" customFormat="false" ht="57.75" hidden="false" customHeight="true" outlineLevel="0" collapsed="false">
      <c r="A23" s="23"/>
      <c r="B23" s="23"/>
      <c r="C23" s="24" t="s">
        <v>407</v>
      </c>
      <c r="D23" s="25"/>
      <c r="E23" s="26" t="s">
        <v>408</v>
      </c>
      <c r="F23" s="27"/>
    </row>
    <row r="24" customFormat="false" ht="19.5" hidden="false" customHeight="true" outlineLevel="0" collapsed="false">
      <c r="A24" s="22" t="s">
        <v>409</v>
      </c>
      <c r="B24" s="22"/>
      <c r="C24" s="22"/>
      <c r="D24" s="22"/>
      <c r="E24" s="22"/>
      <c r="F24" s="22"/>
    </row>
    <row r="25" customFormat="false" ht="57.75" hidden="false" customHeight="true" outlineLevel="0" collapsed="false">
      <c r="A25" s="23" t="s">
        <v>52</v>
      </c>
      <c r="B25" s="23" t="s">
        <v>410</v>
      </c>
      <c r="C25" s="24" t="s">
        <v>411</v>
      </c>
      <c r="D25" s="25"/>
      <c r="E25" s="26" t="s">
        <v>412</v>
      </c>
      <c r="F25" s="27"/>
    </row>
    <row r="26" customFormat="false" ht="57.75" hidden="false" customHeight="true" outlineLevel="0" collapsed="false">
      <c r="A26" s="23"/>
      <c r="B26" s="23"/>
      <c r="C26" s="24" t="s">
        <v>413</v>
      </c>
      <c r="D26" s="25"/>
      <c r="E26" s="26" t="s">
        <v>414</v>
      </c>
      <c r="F26" s="27"/>
    </row>
    <row r="27" customFormat="false" ht="19.5" hidden="false" customHeight="true" outlineLevel="0" collapsed="false">
      <c r="A27" s="22" t="s">
        <v>415</v>
      </c>
      <c r="B27" s="22"/>
      <c r="C27" s="22"/>
      <c r="D27" s="22"/>
      <c r="E27" s="22"/>
      <c r="F27" s="22"/>
    </row>
    <row r="28" customFormat="false" ht="57.75" hidden="false" customHeight="true" outlineLevel="0" collapsed="false">
      <c r="A28" s="23" t="s">
        <v>54</v>
      </c>
      <c r="B28" s="23" t="s">
        <v>416</v>
      </c>
      <c r="C28" s="24" t="s">
        <v>417</v>
      </c>
      <c r="D28" s="25"/>
      <c r="E28" s="26" t="s">
        <v>418</v>
      </c>
      <c r="F28" s="27"/>
    </row>
    <row r="29" customFormat="false" ht="57.75" hidden="false" customHeight="true" outlineLevel="0" collapsed="false">
      <c r="A29" s="23"/>
      <c r="B29" s="23"/>
      <c r="C29" s="24" t="s">
        <v>419</v>
      </c>
      <c r="D29" s="25"/>
      <c r="E29" s="26" t="s">
        <v>420</v>
      </c>
      <c r="F29" s="27"/>
    </row>
    <row r="30" customFormat="false" ht="57.75" hidden="false" customHeight="true" outlineLevel="0" collapsed="false">
      <c r="A30" s="23"/>
      <c r="B30" s="23"/>
      <c r="C30" s="24" t="s">
        <v>421</v>
      </c>
      <c r="D30" s="25"/>
      <c r="E30" s="26" t="s">
        <v>422</v>
      </c>
      <c r="F30" s="27"/>
    </row>
    <row r="31" customFormat="false" ht="57.75" hidden="false" customHeight="true" outlineLevel="0" collapsed="false">
      <c r="A31" s="23"/>
      <c r="B31" s="23"/>
      <c r="C31" s="24" t="s">
        <v>423</v>
      </c>
      <c r="D31" s="25"/>
      <c r="E31" s="26" t="s">
        <v>424</v>
      </c>
      <c r="F31" s="27"/>
    </row>
    <row r="32" customFormat="false" ht="19.5" hidden="false" customHeight="true" outlineLevel="0" collapsed="false">
      <c r="A32" s="22" t="s">
        <v>425</v>
      </c>
      <c r="B32" s="22"/>
      <c r="C32" s="22"/>
      <c r="D32" s="22"/>
      <c r="E32" s="22"/>
      <c r="F32" s="22"/>
    </row>
    <row r="33" customFormat="false" ht="57.75" hidden="false" customHeight="true" outlineLevel="0" collapsed="false">
      <c r="A33" s="23" t="s">
        <v>56</v>
      </c>
      <c r="B33" s="23" t="s">
        <v>426</v>
      </c>
      <c r="C33" s="24" t="s">
        <v>427</v>
      </c>
      <c r="D33" s="25"/>
      <c r="E33" s="26" t="s">
        <v>428</v>
      </c>
      <c r="F33" s="27"/>
    </row>
    <row r="34" customFormat="false" ht="57.75" hidden="false" customHeight="true" outlineLevel="0" collapsed="false">
      <c r="A34" s="23"/>
      <c r="B34" s="23"/>
      <c r="C34" s="24" t="s">
        <v>429</v>
      </c>
      <c r="D34" s="25"/>
      <c r="E34" s="26" t="s">
        <v>430</v>
      </c>
      <c r="F34" s="27"/>
    </row>
    <row r="35" customFormat="false" ht="57.75" hidden="false" customHeight="true" outlineLevel="0" collapsed="false">
      <c r="A35" s="23"/>
      <c r="B35" s="23"/>
      <c r="C35" s="24" t="s">
        <v>431</v>
      </c>
      <c r="D35" s="25"/>
      <c r="E35" s="26" t="s">
        <v>432</v>
      </c>
      <c r="F35" s="27"/>
    </row>
    <row r="36" customFormat="false" ht="57.75" hidden="false" customHeight="true" outlineLevel="0" collapsed="false">
      <c r="A36" s="23"/>
      <c r="B36" s="23"/>
      <c r="C36" s="24" t="s">
        <v>433</v>
      </c>
      <c r="D36" s="25"/>
      <c r="E36" s="26" t="s">
        <v>434</v>
      </c>
      <c r="F36" s="27"/>
    </row>
    <row r="37" customFormat="false" ht="57.75" hidden="false" customHeight="true" outlineLevel="0" collapsed="false">
      <c r="A37" s="23"/>
      <c r="B37" s="23"/>
      <c r="C37" s="24" t="s">
        <v>435</v>
      </c>
      <c r="D37" s="25"/>
      <c r="E37" s="26" t="s">
        <v>436</v>
      </c>
      <c r="F37" s="27"/>
    </row>
    <row r="38" customFormat="false" ht="57.75" hidden="false" customHeight="true" outlineLevel="0" collapsed="false">
      <c r="A38" s="23"/>
      <c r="B38" s="23"/>
      <c r="C38" s="24" t="s">
        <v>437</v>
      </c>
      <c r="D38" s="25"/>
      <c r="E38" s="26" t="s">
        <v>438</v>
      </c>
      <c r="F38" s="27"/>
    </row>
    <row r="39" customFormat="false" ht="57.75" hidden="false" customHeight="true" outlineLevel="0" collapsed="false">
      <c r="A39" s="23" t="s">
        <v>56</v>
      </c>
      <c r="B39" s="23" t="s">
        <v>439</v>
      </c>
      <c r="C39" s="24" t="s">
        <v>440</v>
      </c>
      <c r="D39" s="25"/>
      <c r="E39" s="26" t="s">
        <v>441</v>
      </c>
      <c r="F39" s="27"/>
    </row>
    <row r="40" customFormat="false" ht="57.75" hidden="false" customHeight="true" outlineLevel="0" collapsed="false">
      <c r="A40" s="23"/>
      <c r="B40" s="23"/>
      <c r="C40" s="24" t="s">
        <v>442</v>
      </c>
      <c r="D40" s="25"/>
      <c r="E40" s="26" t="s">
        <v>443</v>
      </c>
      <c r="F40" s="27"/>
    </row>
    <row r="41" customFormat="false" ht="57.75" hidden="false" customHeight="true" outlineLevel="0" collapsed="false">
      <c r="A41" s="23"/>
      <c r="B41" s="23"/>
      <c r="C41" s="24" t="s">
        <v>444</v>
      </c>
      <c r="D41" s="25"/>
      <c r="E41" s="26" t="s">
        <v>445</v>
      </c>
      <c r="F41" s="27"/>
    </row>
    <row r="42" customFormat="false" ht="57.75" hidden="false" customHeight="true" outlineLevel="0" collapsed="false">
      <c r="A42" s="23"/>
      <c r="B42" s="23"/>
      <c r="C42" s="24" t="s">
        <v>446</v>
      </c>
      <c r="D42" s="25"/>
      <c r="E42" s="26" t="s">
        <v>447</v>
      </c>
      <c r="F42" s="27"/>
    </row>
    <row r="43" customFormat="false" ht="57.75" hidden="false" customHeight="true" outlineLevel="0" collapsed="false">
      <c r="A43" s="23"/>
      <c r="B43" s="23"/>
      <c r="C43" s="24" t="s">
        <v>448</v>
      </c>
      <c r="D43" s="25"/>
      <c r="E43" s="26" t="s">
        <v>449</v>
      </c>
      <c r="F43" s="27"/>
    </row>
    <row r="44" customFormat="false" ht="57.75" hidden="false" customHeight="true" outlineLevel="0" collapsed="false">
      <c r="A44" s="23"/>
      <c r="B44" s="23"/>
      <c r="C44" s="24" t="s">
        <v>450</v>
      </c>
      <c r="D44" s="25"/>
      <c r="E44" s="26" t="s">
        <v>451</v>
      </c>
      <c r="F44" s="27"/>
    </row>
    <row r="45" customFormat="false" ht="57.75" hidden="false" customHeight="true" outlineLevel="0" collapsed="false">
      <c r="A45" s="23" t="s">
        <v>56</v>
      </c>
      <c r="B45" s="23" t="s">
        <v>452</v>
      </c>
      <c r="C45" s="24" t="s">
        <v>453</v>
      </c>
      <c r="D45" s="25"/>
      <c r="E45" s="26" t="s">
        <v>454</v>
      </c>
      <c r="F45" s="27"/>
    </row>
    <row r="46" customFormat="false" ht="57.75" hidden="false" customHeight="true" outlineLevel="0" collapsed="false">
      <c r="A46" s="23"/>
      <c r="B46" s="23"/>
      <c r="C46" s="24" t="s">
        <v>455</v>
      </c>
      <c r="D46" s="25"/>
      <c r="E46" s="26" t="s">
        <v>456</v>
      </c>
      <c r="F46" s="27"/>
    </row>
    <row r="47" customFormat="false" ht="57.75" hidden="false" customHeight="true" outlineLevel="0" collapsed="false">
      <c r="A47" s="23"/>
      <c r="B47" s="23"/>
      <c r="C47" s="24" t="s">
        <v>457</v>
      </c>
      <c r="D47" s="25"/>
      <c r="E47" s="26" t="s">
        <v>458</v>
      </c>
      <c r="F47" s="27"/>
    </row>
    <row r="48" customFormat="false" ht="57.75" hidden="false" customHeight="true" outlineLevel="0" collapsed="false">
      <c r="A48" s="23"/>
      <c r="B48" s="23"/>
      <c r="C48" s="24" t="s">
        <v>459</v>
      </c>
      <c r="D48" s="25"/>
      <c r="E48" s="26" t="s">
        <v>460</v>
      </c>
      <c r="F48" s="27"/>
    </row>
    <row r="49" customFormat="false" ht="57.75" hidden="false" customHeight="true" outlineLevel="0" collapsed="false">
      <c r="A49" s="23"/>
      <c r="B49" s="23"/>
      <c r="C49" s="24" t="s">
        <v>461</v>
      </c>
      <c r="D49" s="25"/>
      <c r="E49" s="26" t="s">
        <v>462</v>
      </c>
      <c r="F49" s="27"/>
    </row>
    <row r="50" customFormat="false" ht="19.5" hidden="false" customHeight="true" outlineLevel="0" collapsed="false">
      <c r="A50" s="22" t="s">
        <v>463</v>
      </c>
      <c r="B50" s="22"/>
      <c r="C50" s="22"/>
      <c r="D50" s="22"/>
      <c r="E50" s="22"/>
      <c r="F50" s="22"/>
    </row>
    <row r="51" customFormat="false" ht="57.75" hidden="false" customHeight="true" outlineLevel="0" collapsed="false">
      <c r="A51" s="23" t="s">
        <v>58</v>
      </c>
      <c r="B51" s="23" t="s">
        <v>464</v>
      </c>
      <c r="C51" s="24" t="s">
        <v>465</v>
      </c>
      <c r="D51" s="25"/>
      <c r="E51" s="26" t="s">
        <v>466</v>
      </c>
      <c r="F51" s="27"/>
    </row>
    <row r="52" customFormat="false" ht="57.75" hidden="false" customHeight="true" outlineLevel="0" collapsed="false">
      <c r="A52" s="23"/>
      <c r="B52" s="23"/>
      <c r="C52" s="24" t="s">
        <v>467</v>
      </c>
      <c r="D52" s="25"/>
      <c r="E52" s="26" t="s">
        <v>468</v>
      </c>
      <c r="F52" s="27"/>
    </row>
    <row r="53" customFormat="false" ht="57.75" hidden="false" customHeight="true" outlineLevel="0" collapsed="false">
      <c r="A53" s="23"/>
      <c r="B53" s="23"/>
      <c r="C53" s="24" t="s">
        <v>469</v>
      </c>
      <c r="D53" s="25"/>
      <c r="E53" s="26" t="s">
        <v>470</v>
      </c>
      <c r="F53" s="27"/>
    </row>
    <row r="54" customFormat="false" ht="57.75" hidden="false" customHeight="true" outlineLevel="0" collapsed="false">
      <c r="A54" s="23"/>
      <c r="B54" s="23"/>
      <c r="C54" s="24" t="s">
        <v>471</v>
      </c>
      <c r="D54" s="25"/>
      <c r="E54" s="26" t="s">
        <v>472</v>
      </c>
      <c r="F54" s="27"/>
    </row>
    <row r="55" customFormat="false" ht="57.75" hidden="false" customHeight="true" outlineLevel="0" collapsed="false">
      <c r="A55" s="23"/>
      <c r="B55" s="23"/>
      <c r="C55" s="24" t="s">
        <v>473</v>
      </c>
      <c r="D55" s="25"/>
      <c r="E55" s="26" t="s">
        <v>474</v>
      </c>
      <c r="F55" s="27"/>
    </row>
    <row r="56" customFormat="false" ht="57.75" hidden="false" customHeight="true" outlineLevel="0" collapsed="false">
      <c r="A56" s="23" t="s">
        <v>58</v>
      </c>
      <c r="B56" s="23" t="s">
        <v>475</v>
      </c>
      <c r="C56" s="24" t="s">
        <v>476</v>
      </c>
      <c r="D56" s="25"/>
      <c r="E56" s="26" t="s">
        <v>477</v>
      </c>
      <c r="F56" s="27"/>
    </row>
    <row r="57" customFormat="false" ht="57.75" hidden="false" customHeight="true" outlineLevel="0" collapsed="false">
      <c r="A57" s="23"/>
      <c r="B57" s="23"/>
      <c r="C57" s="24" t="s">
        <v>478</v>
      </c>
      <c r="D57" s="25"/>
      <c r="E57" s="26" t="s">
        <v>479</v>
      </c>
      <c r="F57" s="27"/>
    </row>
    <row r="58" customFormat="false" ht="57.75" hidden="false" customHeight="true" outlineLevel="0" collapsed="false">
      <c r="A58" s="23"/>
      <c r="B58" s="23"/>
      <c r="C58" s="24" t="s">
        <v>480</v>
      </c>
      <c r="D58" s="25"/>
      <c r="E58" s="26" t="s">
        <v>481</v>
      </c>
      <c r="F58" s="27"/>
    </row>
    <row r="59" customFormat="false" ht="57.75" hidden="false" customHeight="true" outlineLevel="0" collapsed="false">
      <c r="A59" s="23"/>
      <c r="B59" s="23"/>
      <c r="C59" s="24" t="s">
        <v>482</v>
      </c>
      <c r="D59" s="25"/>
      <c r="E59" s="26" t="s">
        <v>483</v>
      </c>
      <c r="F59" s="27"/>
    </row>
    <row r="60" customFormat="false" ht="57.75" hidden="false" customHeight="true" outlineLevel="0" collapsed="false">
      <c r="A60" s="23"/>
      <c r="B60" s="23"/>
      <c r="C60" s="24" t="s">
        <v>484</v>
      </c>
      <c r="D60" s="25"/>
      <c r="E60" s="26" t="s">
        <v>485</v>
      </c>
      <c r="F60" s="27"/>
    </row>
    <row r="61" customFormat="false" ht="57.75" hidden="false" customHeight="true" outlineLevel="0" collapsed="false">
      <c r="A61" s="23" t="s">
        <v>58</v>
      </c>
      <c r="B61" s="23" t="s">
        <v>486</v>
      </c>
      <c r="C61" s="24" t="s">
        <v>487</v>
      </c>
      <c r="D61" s="25"/>
      <c r="E61" s="26" t="s">
        <v>488</v>
      </c>
      <c r="F61" s="27"/>
    </row>
    <row r="62" customFormat="false" ht="57.75" hidden="false" customHeight="true" outlineLevel="0" collapsed="false">
      <c r="A62" s="23"/>
      <c r="B62" s="23"/>
      <c r="C62" s="24" t="s">
        <v>489</v>
      </c>
      <c r="D62" s="25"/>
      <c r="E62" s="26" t="s">
        <v>490</v>
      </c>
      <c r="F62" s="27"/>
    </row>
    <row r="63" customFormat="false" ht="57.75" hidden="false" customHeight="true" outlineLevel="0" collapsed="false">
      <c r="A63" s="23"/>
      <c r="B63" s="23"/>
      <c r="C63" s="24" t="s">
        <v>480</v>
      </c>
      <c r="D63" s="25"/>
      <c r="E63" s="26" t="s">
        <v>491</v>
      </c>
      <c r="F63" s="27"/>
    </row>
    <row r="64" customFormat="false" ht="57.75" hidden="false" customHeight="true" outlineLevel="0" collapsed="false">
      <c r="A64" s="23"/>
      <c r="B64" s="23"/>
      <c r="C64" s="24" t="s">
        <v>482</v>
      </c>
      <c r="D64" s="25"/>
      <c r="E64" s="26" t="s">
        <v>492</v>
      </c>
      <c r="F64" s="27"/>
    </row>
    <row r="65" customFormat="false" ht="57.75" hidden="false" customHeight="true" outlineLevel="0" collapsed="false">
      <c r="A65" s="23"/>
      <c r="B65" s="23"/>
      <c r="C65" s="24" t="s">
        <v>484</v>
      </c>
      <c r="D65" s="25"/>
      <c r="E65" s="26" t="s">
        <v>493</v>
      </c>
      <c r="F65" s="27"/>
    </row>
    <row r="66" customFormat="false" ht="57.75" hidden="false" customHeight="true" outlineLevel="0" collapsed="false">
      <c r="A66" s="23" t="s">
        <v>58</v>
      </c>
      <c r="B66" s="23" t="s">
        <v>494</v>
      </c>
      <c r="C66" s="24" t="s">
        <v>495</v>
      </c>
      <c r="D66" s="25"/>
      <c r="E66" s="26" t="s">
        <v>496</v>
      </c>
      <c r="F66" s="27"/>
    </row>
    <row r="67" customFormat="false" ht="57.75" hidden="false" customHeight="true" outlineLevel="0" collapsed="false">
      <c r="A67" s="23"/>
      <c r="B67" s="23"/>
      <c r="C67" s="24" t="s">
        <v>497</v>
      </c>
      <c r="D67" s="25"/>
      <c r="E67" s="26" t="s">
        <v>498</v>
      </c>
      <c r="F67" s="27"/>
    </row>
    <row r="68" customFormat="false" ht="57.75" hidden="false" customHeight="true" outlineLevel="0" collapsed="false">
      <c r="A68" s="23"/>
      <c r="B68" s="23"/>
      <c r="C68" s="24" t="s">
        <v>480</v>
      </c>
      <c r="D68" s="25"/>
      <c r="E68" s="26" t="s">
        <v>499</v>
      </c>
      <c r="F68" s="27"/>
    </row>
    <row r="69" customFormat="false" ht="57.75" hidden="false" customHeight="true" outlineLevel="0" collapsed="false">
      <c r="A69" s="23"/>
      <c r="B69" s="23"/>
      <c r="C69" s="24" t="s">
        <v>482</v>
      </c>
      <c r="D69" s="25"/>
      <c r="E69" s="26" t="s">
        <v>500</v>
      </c>
      <c r="F69" s="27"/>
    </row>
    <row r="70" customFormat="false" ht="57.75" hidden="false" customHeight="true" outlineLevel="0" collapsed="false">
      <c r="A70" s="23"/>
      <c r="B70" s="23"/>
      <c r="C70" s="24" t="s">
        <v>501</v>
      </c>
      <c r="D70" s="25"/>
      <c r="E70" s="26" t="s">
        <v>502</v>
      </c>
      <c r="F70" s="27"/>
    </row>
    <row r="71" customFormat="false" ht="57.75" hidden="false" customHeight="true" outlineLevel="0" collapsed="false">
      <c r="A71" s="23" t="s">
        <v>58</v>
      </c>
      <c r="B71" s="23" t="s">
        <v>503</v>
      </c>
      <c r="C71" s="24" t="s">
        <v>504</v>
      </c>
      <c r="D71" s="25"/>
      <c r="E71" s="26" t="s">
        <v>505</v>
      </c>
      <c r="F71" s="27"/>
    </row>
    <row r="72" customFormat="false" ht="57.75" hidden="false" customHeight="true" outlineLevel="0" collapsed="false">
      <c r="A72" s="23"/>
      <c r="B72" s="23"/>
      <c r="C72" s="24" t="s">
        <v>506</v>
      </c>
      <c r="D72" s="25"/>
      <c r="E72" s="26" t="s">
        <v>507</v>
      </c>
      <c r="F72" s="27"/>
    </row>
    <row r="73" customFormat="false" ht="57.75" hidden="false" customHeight="true" outlineLevel="0" collapsed="false">
      <c r="A73" s="23"/>
      <c r="B73" s="23"/>
      <c r="C73" s="24" t="s">
        <v>480</v>
      </c>
      <c r="D73" s="25"/>
      <c r="E73" s="26" t="s">
        <v>508</v>
      </c>
      <c r="F73" s="27"/>
    </row>
    <row r="74" customFormat="false" ht="57.75" hidden="false" customHeight="true" outlineLevel="0" collapsed="false">
      <c r="A74" s="23"/>
      <c r="B74" s="23"/>
      <c r="C74" s="24" t="s">
        <v>482</v>
      </c>
      <c r="D74" s="25"/>
      <c r="E74" s="26" t="s">
        <v>509</v>
      </c>
      <c r="F74" s="27"/>
    </row>
    <row r="75" customFormat="false" ht="57.75" hidden="false" customHeight="true" outlineLevel="0" collapsed="false">
      <c r="A75" s="23"/>
      <c r="B75" s="23"/>
      <c r="C75" s="24" t="s">
        <v>510</v>
      </c>
      <c r="D75" s="25"/>
      <c r="E75" s="26" t="s">
        <v>511</v>
      </c>
      <c r="F75" s="27"/>
    </row>
    <row r="76" customFormat="false" ht="19.5" hidden="false" customHeight="true" outlineLevel="0" collapsed="false">
      <c r="A76" s="22" t="s">
        <v>512</v>
      </c>
      <c r="B76" s="22"/>
      <c r="C76" s="22"/>
      <c r="D76" s="22"/>
      <c r="E76" s="22"/>
      <c r="F76" s="22"/>
    </row>
    <row r="77" customFormat="false" ht="57.75" hidden="false" customHeight="true" outlineLevel="0" collapsed="false">
      <c r="A77" s="23" t="s">
        <v>60</v>
      </c>
      <c r="B77" s="23" t="s">
        <v>513</v>
      </c>
      <c r="C77" s="24" t="s">
        <v>514</v>
      </c>
      <c r="D77" s="25"/>
      <c r="E77" s="26" t="s">
        <v>515</v>
      </c>
      <c r="F77" s="27"/>
    </row>
    <row r="78" customFormat="false" ht="57.75" hidden="false" customHeight="true" outlineLevel="0" collapsed="false">
      <c r="A78" s="23"/>
      <c r="B78" s="23"/>
      <c r="C78" s="24" t="s">
        <v>516</v>
      </c>
      <c r="D78" s="25"/>
      <c r="E78" s="26" t="s">
        <v>517</v>
      </c>
      <c r="F78" s="27"/>
    </row>
    <row r="79" customFormat="false" ht="57.75" hidden="false" customHeight="true" outlineLevel="0" collapsed="false">
      <c r="A79" s="23"/>
      <c r="B79" s="23"/>
      <c r="C79" s="24" t="s">
        <v>518</v>
      </c>
      <c r="D79" s="25"/>
      <c r="E79" s="26" t="s">
        <v>519</v>
      </c>
      <c r="F79" s="27"/>
    </row>
    <row r="80" customFormat="false" ht="57.75" hidden="false" customHeight="true" outlineLevel="0" collapsed="false">
      <c r="A80" s="23"/>
      <c r="B80" s="23"/>
      <c r="C80" s="24" t="s">
        <v>520</v>
      </c>
      <c r="D80" s="25"/>
      <c r="E80" s="26" t="s">
        <v>521</v>
      </c>
      <c r="F80" s="27"/>
    </row>
    <row r="81" customFormat="false" ht="57.75" hidden="false" customHeight="true" outlineLevel="0" collapsed="false">
      <c r="A81" s="23"/>
      <c r="B81" s="23"/>
      <c r="C81" s="24" t="s">
        <v>522</v>
      </c>
      <c r="D81" s="25"/>
      <c r="E81" s="26" t="s">
        <v>523</v>
      </c>
      <c r="F81" s="27"/>
    </row>
    <row r="82" customFormat="false" ht="57.75" hidden="false" customHeight="true" outlineLevel="0" collapsed="false">
      <c r="A82" s="23"/>
      <c r="B82" s="23"/>
      <c r="C82" s="24" t="s">
        <v>524</v>
      </c>
      <c r="D82" s="25"/>
      <c r="E82" s="26" t="s">
        <v>525</v>
      </c>
      <c r="F82" s="27"/>
    </row>
    <row r="83" customFormat="false" ht="57.75" hidden="false" customHeight="true" outlineLevel="0" collapsed="false">
      <c r="A83" s="23" t="s">
        <v>60</v>
      </c>
      <c r="B83" s="23" t="s">
        <v>526</v>
      </c>
      <c r="C83" s="24" t="s">
        <v>527</v>
      </c>
      <c r="D83" s="25"/>
      <c r="E83" s="26" t="s">
        <v>528</v>
      </c>
      <c r="F83" s="27"/>
    </row>
    <row r="84" customFormat="false" ht="57.75" hidden="false" customHeight="true" outlineLevel="0" collapsed="false">
      <c r="A84" s="23"/>
      <c r="B84" s="23"/>
      <c r="C84" s="24" t="s">
        <v>529</v>
      </c>
      <c r="D84" s="25"/>
      <c r="E84" s="26" t="s">
        <v>530</v>
      </c>
      <c r="F84" s="27"/>
    </row>
    <row r="85" customFormat="false" ht="57.75" hidden="false" customHeight="true" outlineLevel="0" collapsed="false">
      <c r="A85" s="23"/>
      <c r="B85" s="23"/>
      <c r="C85" s="24" t="s">
        <v>531</v>
      </c>
      <c r="D85" s="25"/>
      <c r="E85" s="26" t="s">
        <v>532</v>
      </c>
      <c r="F85" s="27"/>
    </row>
    <row r="86" customFormat="false" ht="57.75" hidden="false" customHeight="true" outlineLevel="0" collapsed="false">
      <c r="A86" s="23"/>
      <c r="B86" s="23"/>
      <c r="C86" s="24" t="s">
        <v>533</v>
      </c>
      <c r="D86" s="25"/>
      <c r="E86" s="26" t="s">
        <v>534</v>
      </c>
      <c r="F86" s="27"/>
    </row>
    <row r="87" customFormat="false" ht="57.75" hidden="false" customHeight="true" outlineLevel="0" collapsed="false">
      <c r="A87" s="23"/>
      <c r="B87" s="23"/>
      <c r="C87" s="24" t="s">
        <v>535</v>
      </c>
      <c r="D87" s="25"/>
      <c r="E87" s="26" t="s">
        <v>536</v>
      </c>
      <c r="F87" s="27"/>
    </row>
    <row r="88" customFormat="false" ht="57.75" hidden="false" customHeight="true" outlineLevel="0" collapsed="false">
      <c r="A88" s="23"/>
      <c r="B88" s="23"/>
      <c r="C88" s="24" t="s">
        <v>537</v>
      </c>
      <c r="D88" s="25"/>
      <c r="E88" s="26" t="s">
        <v>538</v>
      </c>
      <c r="F88" s="27"/>
    </row>
    <row r="89" customFormat="false" ht="19.5" hidden="false" customHeight="true" outlineLevel="0" collapsed="false">
      <c r="A89" s="22" t="s">
        <v>539</v>
      </c>
      <c r="B89" s="22"/>
      <c r="C89" s="22"/>
      <c r="D89" s="22"/>
      <c r="E89" s="22"/>
      <c r="F89" s="22"/>
    </row>
    <row r="90" customFormat="false" ht="57.75" hidden="false" customHeight="true" outlineLevel="0" collapsed="false">
      <c r="A90" s="23" t="s">
        <v>62</v>
      </c>
      <c r="B90" s="23" t="s">
        <v>540</v>
      </c>
      <c r="C90" s="24" t="s">
        <v>541</v>
      </c>
      <c r="D90" s="25"/>
      <c r="E90" s="26" t="s">
        <v>542</v>
      </c>
      <c r="F90" s="27"/>
    </row>
    <row r="91" customFormat="false" ht="57.75" hidden="false" customHeight="true" outlineLevel="0" collapsed="false">
      <c r="A91" s="23"/>
      <c r="B91" s="23"/>
      <c r="C91" s="24" t="s">
        <v>543</v>
      </c>
      <c r="D91" s="25"/>
      <c r="E91" s="26" t="s">
        <v>544</v>
      </c>
      <c r="F91" s="27"/>
    </row>
    <row r="92" customFormat="false" ht="57.75" hidden="false" customHeight="true" outlineLevel="0" collapsed="false">
      <c r="A92" s="23"/>
      <c r="B92" s="23"/>
      <c r="C92" s="24" t="s">
        <v>545</v>
      </c>
      <c r="D92" s="25"/>
      <c r="E92" s="26" t="s">
        <v>546</v>
      </c>
      <c r="F92" s="27"/>
    </row>
    <row r="93" customFormat="false" ht="57.75" hidden="false" customHeight="true" outlineLevel="0" collapsed="false">
      <c r="A93" s="23"/>
      <c r="B93" s="23"/>
      <c r="C93" s="24" t="s">
        <v>547</v>
      </c>
      <c r="D93" s="25"/>
      <c r="E93" s="26" t="s">
        <v>548</v>
      </c>
      <c r="F93" s="27"/>
    </row>
    <row r="94" customFormat="false" ht="57.75" hidden="false" customHeight="true" outlineLevel="0" collapsed="false">
      <c r="A94" s="23"/>
      <c r="B94" s="23"/>
      <c r="C94" s="24" t="s">
        <v>549</v>
      </c>
      <c r="D94" s="25"/>
      <c r="E94" s="26" t="s">
        <v>550</v>
      </c>
      <c r="F94" s="27"/>
    </row>
    <row r="95" customFormat="false" ht="57.75" hidden="false" customHeight="true" outlineLevel="0" collapsed="false">
      <c r="A95" s="23" t="s">
        <v>62</v>
      </c>
      <c r="B95" s="23" t="s">
        <v>551</v>
      </c>
      <c r="C95" s="24" t="s">
        <v>552</v>
      </c>
      <c r="D95" s="25"/>
      <c r="E95" s="26" t="s">
        <v>553</v>
      </c>
      <c r="F95" s="27"/>
    </row>
    <row r="96" customFormat="false" ht="57.75" hidden="false" customHeight="true" outlineLevel="0" collapsed="false">
      <c r="A96" s="23"/>
      <c r="B96" s="23"/>
      <c r="C96" s="24" t="s">
        <v>554</v>
      </c>
      <c r="D96" s="25"/>
      <c r="E96" s="26" t="s">
        <v>555</v>
      </c>
      <c r="F96" s="27"/>
    </row>
    <row r="97" customFormat="false" ht="57.75" hidden="false" customHeight="true" outlineLevel="0" collapsed="false">
      <c r="A97" s="23"/>
      <c r="B97" s="23"/>
      <c r="C97" s="24" t="s">
        <v>556</v>
      </c>
      <c r="D97" s="25"/>
      <c r="E97" s="26" t="s">
        <v>557</v>
      </c>
      <c r="F97" s="27"/>
    </row>
    <row r="98" customFormat="false" ht="57.75" hidden="false" customHeight="true" outlineLevel="0" collapsed="false">
      <c r="A98" s="23"/>
      <c r="B98" s="23"/>
      <c r="C98" s="24" t="s">
        <v>558</v>
      </c>
      <c r="D98" s="25"/>
      <c r="E98" s="26" t="s">
        <v>559</v>
      </c>
      <c r="F98" s="27"/>
    </row>
    <row r="99" customFormat="false" ht="57.75" hidden="false" customHeight="true" outlineLevel="0" collapsed="false">
      <c r="A99" s="23"/>
      <c r="B99" s="23"/>
      <c r="C99" s="24" t="s">
        <v>560</v>
      </c>
      <c r="D99" s="25"/>
      <c r="E99" s="26" t="s">
        <v>561</v>
      </c>
      <c r="F99" s="27"/>
    </row>
    <row r="100" customFormat="false" ht="57.75" hidden="false" customHeight="true" outlineLevel="0" collapsed="false">
      <c r="A100" s="23"/>
      <c r="B100" s="23"/>
      <c r="C100" s="24" t="s">
        <v>562</v>
      </c>
      <c r="D100" s="25"/>
      <c r="E100" s="26" t="s">
        <v>563</v>
      </c>
      <c r="F100" s="27"/>
    </row>
    <row r="101" customFormat="false" ht="57.75" hidden="false" customHeight="true" outlineLevel="0" collapsed="false">
      <c r="A101" s="23"/>
      <c r="B101" s="23"/>
      <c r="C101" s="24" t="s">
        <v>564</v>
      </c>
      <c r="D101" s="25"/>
      <c r="E101" s="26" t="s">
        <v>565</v>
      </c>
      <c r="F101" s="27"/>
    </row>
    <row r="102" customFormat="false" ht="57.75" hidden="false" customHeight="true" outlineLevel="0" collapsed="false">
      <c r="A102" s="23" t="s">
        <v>62</v>
      </c>
      <c r="B102" s="23" t="s">
        <v>566</v>
      </c>
      <c r="C102" s="24" t="s">
        <v>567</v>
      </c>
      <c r="D102" s="25"/>
      <c r="E102" s="26" t="s">
        <v>568</v>
      </c>
      <c r="F102" s="27"/>
    </row>
    <row r="103" customFormat="false" ht="57.75" hidden="false" customHeight="true" outlineLevel="0" collapsed="false">
      <c r="A103" s="23"/>
      <c r="B103" s="23"/>
      <c r="C103" s="24" t="s">
        <v>569</v>
      </c>
      <c r="D103" s="25"/>
      <c r="E103" s="26" t="s">
        <v>570</v>
      </c>
      <c r="F103" s="27"/>
    </row>
    <row r="104" customFormat="false" ht="57.75" hidden="false" customHeight="true" outlineLevel="0" collapsed="false">
      <c r="A104" s="23"/>
      <c r="B104" s="23"/>
      <c r="C104" s="24" t="s">
        <v>571</v>
      </c>
      <c r="D104" s="25"/>
      <c r="E104" s="26" t="s">
        <v>572</v>
      </c>
      <c r="F104" s="27"/>
    </row>
    <row r="105" customFormat="false" ht="57.75" hidden="false" customHeight="true" outlineLevel="0" collapsed="false">
      <c r="A105" s="23" t="s">
        <v>62</v>
      </c>
      <c r="B105" s="23" t="s">
        <v>573</v>
      </c>
      <c r="C105" s="24" t="s">
        <v>574</v>
      </c>
      <c r="D105" s="25"/>
      <c r="E105" s="26" t="s">
        <v>575</v>
      </c>
      <c r="F105" s="27"/>
    </row>
    <row r="106" customFormat="false" ht="57.75" hidden="false" customHeight="true" outlineLevel="0" collapsed="false">
      <c r="A106" s="23"/>
      <c r="B106" s="23"/>
      <c r="C106" s="24" t="s">
        <v>576</v>
      </c>
      <c r="D106" s="25"/>
      <c r="E106" s="26" t="s">
        <v>577</v>
      </c>
      <c r="F106" s="27"/>
    </row>
    <row r="108" customFormat="false" ht="24" hidden="false" customHeight="true" outlineLevel="0" collapsed="false">
      <c r="A108" s="28" t="s">
        <v>578</v>
      </c>
      <c r="B108" s="28"/>
      <c r="C108" s="28"/>
      <c r="D108" s="28"/>
      <c r="E108" s="28"/>
      <c r="F108" s="28"/>
    </row>
    <row r="109" customFormat="false" ht="23.85" hidden="false" customHeight="false" outlineLevel="0" collapsed="false">
      <c r="A109" s="15" t="s">
        <v>115</v>
      </c>
      <c r="B109" s="15" t="s">
        <v>28</v>
      </c>
      <c r="C109" s="15" t="s">
        <v>358</v>
      </c>
      <c r="D109" s="15" t="s">
        <v>109</v>
      </c>
      <c r="E109" s="15" t="s">
        <v>110</v>
      </c>
      <c r="F109" s="15" t="s">
        <v>111</v>
      </c>
    </row>
    <row r="110" customFormat="false" ht="15" hidden="false" customHeight="false" outlineLevel="0" collapsed="false">
      <c r="A110" s="29" t="s">
        <v>48</v>
      </c>
      <c r="B110" s="30" t="s">
        <v>579</v>
      </c>
      <c r="C110" s="31" t="n">
        <v>11</v>
      </c>
      <c r="D110" s="32" t="n">
        <f aca="false">SUMPRODUCT((D6:D16&lt;&gt;"TDD")*IFERROR(D6:D16,0))</f>
        <v>0</v>
      </c>
      <c r="E110" s="32" t="n">
        <f aca="false">COUNTIF(D6:D16,"&lt;&gt;TDD")*10</f>
        <v>110</v>
      </c>
      <c r="F110" s="33" t="n">
        <f aca="false">IFERROR(D110/E110,0)</f>
        <v>0</v>
      </c>
    </row>
    <row r="111" customFormat="false" ht="15" hidden="false" customHeight="false" outlineLevel="0" collapsed="false">
      <c r="A111" s="29" t="s">
        <v>50</v>
      </c>
      <c r="B111" s="30" t="s">
        <v>580</v>
      </c>
      <c r="C111" s="31" t="n">
        <v>6</v>
      </c>
      <c r="D111" s="32" t="n">
        <f aca="false">SUMPRODUCT((D18:D23&lt;&gt;"TDD")*IFERROR(D18:D23,0))</f>
        <v>0</v>
      </c>
      <c r="E111" s="32" t="n">
        <f aca="false">COUNTIF(D18:D23,"&lt;&gt;TDD")*10</f>
        <v>60</v>
      </c>
      <c r="F111" s="33" t="n">
        <f aca="false">IFERROR(D111/E111,0)</f>
        <v>0</v>
      </c>
    </row>
    <row r="112" customFormat="false" ht="15" hidden="false" customHeight="false" outlineLevel="0" collapsed="false">
      <c r="A112" s="29" t="s">
        <v>52</v>
      </c>
      <c r="B112" s="30" t="s">
        <v>581</v>
      </c>
      <c r="C112" s="31" t="n">
        <v>2</v>
      </c>
      <c r="D112" s="32" t="n">
        <f aca="false">SUMPRODUCT((D25:D26&lt;&gt;"TDD")*IFERROR(D25:D26,0))</f>
        <v>0</v>
      </c>
      <c r="E112" s="32" t="n">
        <f aca="false">COUNTIF(D25:D26,"&lt;&gt;TDD")*10</f>
        <v>20</v>
      </c>
      <c r="F112" s="33" t="n">
        <f aca="false">IFERROR(D112/E112,0)</f>
        <v>0</v>
      </c>
    </row>
    <row r="113" customFormat="false" ht="15" hidden="false" customHeight="false" outlineLevel="0" collapsed="false">
      <c r="A113" s="29" t="s">
        <v>54</v>
      </c>
      <c r="B113" s="30" t="s">
        <v>582</v>
      </c>
      <c r="C113" s="31" t="n">
        <v>4</v>
      </c>
      <c r="D113" s="32" t="n">
        <f aca="false">SUMPRODUCT((D28:D31&lt;&gt;"TDD")*IFERROR(D28:D31,0))</f>
        <v>0</v>
      </c>
      <c r="E113" s="32" t="n">
        <f aca="false">COUNTIF(D28:D31,"&lt;&gt;TDD")*10</f>
        <v>40</v>
      </c>
      <c r="F113" s="33" t="n">
        <f aca="false">IFERROR(D113/E113,0)</f>
        <v>0</v>
      </c>
    </row>
    <row r="114" customFormat="false" ht="15" hidden="false" customHeight="false" outlineLevel="0" collapsed="false">
      <c r="A114" s="29" t="s">
        <v>56</v>
      </c>
      <c r="B114" s="30" t="s">
        <v>583</v>
      </c>
      <c r="C114" s="31" t="n">
        <v>17</v>
      </c>
      <c r="D114" s="32" t="n">
        <f aca="false">SUMPRODUCT((D33:D49&lt;&gt;"TDD")*IFERROR(D33:D49,0))</f>
        <v>0</v>
      </c>
      <c r="E114" s="32" t="n">
        <f aca="false">COUNTIF(D33:D49,"&lt;&gt;TDD")*10</f>
        <v>170</v>
      </c>
      <c r="F114" s="33" t="n">
        <f aca="false">IFERROR(D114/E114,0)</f>
        <v>0</v>
      </c>
    </row>
    <row r="115" customFormat="false" ht="15" hidden="false" customHeight="false" outlineLevel="0" collapsed="false">
      <c r="A115" s="29" t="s">
        <v>58</v>
      </c>
      <c r="B115" s="30" t="s">
        <v>584</v>
      </c>
      <c r="C115" s="31" t="n">
        <v>25</v>
      </c>
      <c r="D115" s="32" t="n">
        <f aca="false">SUMPRODUCT((D51:D75&lt;&gt;"TDD")*IFERROR(D51:D75,0))</f>
        <v>0</v>
      </c>
      <c r="E115" s="32" t="n">
        <f aca="false">COUNTIF(D51:D75,"&lt;&gt;TDD")*10</f>
        <v>250</v>
      </c>
      <c r="F115" s="33" t="n">
        <f aca="false">IFERROR(D115/E115,0)</f>
        <v>0</v>
      </c>
    </row>
    <row r="116" customFormat="false" ht="15" hidden="false" customHeight="false" outlineLevel="0" collapsed="false">
      <c r="A116" s="29" t="s">
        <v>60</v>
      </c>
      <c r="B116" s="30" t="s">
        <v>585</v>
      </c>
      <c r="C116" s="31" t="n">
        <v>12</v>
      </c>
      <c r="D116" s="32" t="n">
        <f aca="false">SUMPRODUCT((D77:D88&lt;&gt;"TDD")*IFERROR(D77:D88,0))</f>
        <v>0</v>
      </c>
      <c r="E116" s="32" t="n">
        <f aca="false">COUNTIF(D77:D88,"&lt;&gt;TDD")*10</f>
        <v>120</v>
      </c>
      <c r="F116" s="33" t="n">
        <f aca="false">IFERROR(D116/E116,0)</f>
        <v>0</v>
      </c>
    </row>
    <row r="117" customFormat="false" ht="15" hidden="false" customHeight="false" outlineLevel="0" collapsed="false">
      <c r="A117" s="29" t="s">
        <v>62</v>
      </c>
      <c r="B117" s="30" t="s">
        <v>586</v>
      </c>
      <c r="C117" s="31" t="n">
        <v>17</v>
      </c>
      <c r="D117" s="32" t="n">
        <f aca="false">SUMPRODUCT((D90:D106&lt;&gt;"TDD")*IFERROR(D90:D106,0))</f>
        <v>0</v>
      </c>
      <c r="E117" s="32" t="n">
        <f aca="false">COUNTIF(D90:D106,"&lt;&gt;TDD")*10</f>
        <v>170</v>
      </c>
      <c r="F117" s="33" t="n">
        <f aca="false">IFERROR(D117/E117,0)</f>
        <v>0</v>
      </c>
    </row>
    <row r="118" customFormat="false" ht="15" hidden="false" customHeight="false" outlineLevel="0" collapsed="false">
      <c r="A118" s="34" t="s">
        <v>587</v>
      </c>
      <c r="B118" s="34"/>
      <c r="C118" s="35" t="n">
        <f aca="false">SUM(C110:C117)</f>
        <v>94</v>
      </c>
      <c r="D118" s="36" t="n">
        <f aca="false">SUM(D110:D117)</f>
        <v>0</v>
      </c>
      <c r="E118" s="36" t="n">
        <f aca="false">SUM(E110:E117)</f>
        <v>940</v>
      </c>
      <c r="F118" s="37" t="n">
        <f aca="false">IFERROR(D118/E118,0)</f>
        <v>0</v>
      </c>
    </row>
  </sheetData>
  <mergeCells count="12">
    <mergeCell ref="A1:F1"/>
    <mergeCell ref="A2:F2"/>
    <mergeCell ref="A5:F5"/>
    <mergeCell ref="A17:F17"/>
    <mergeCell ref="A24:F24"/>
    <mergeCell ref="A27:F27"/>
    <mergeCell ref="A32:F32"/>
    <mergeCell ref="A50:F50"/>
    <mergeCell ref="A76:F76"/>
    <mergeCell ref="A89:F89"/>
    <mergeCell ref="A108:F108"/>
    <mergeCell ref="A118:B118"/>
  </mergeCells>
  <dataValidations count="1">
    <dataValidation allowBlank="true" error="Nilai harus 0, 5, 10, atau TDD (Tidak Dapat Dinilai)." errorStyle="stop" errorTitle="Error" operator="between" showDropDown="false" showErrorMessage="true" showInputMessage="false" sqref="D6:D16 D18:D23 D25:D26 D28:D31 D33:D49 D51:D75 D77:D88 D90:D106"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48"/>
    <col collapsed="false" customWidth="true" hidden="false" outlineLevel="0" max="4" min="4" style="0" width="10"/>
    <col collapsed="false" customWidth="true" hidden="false" outlineLevel="0" max="5" min="5" style="0" width="32"/>
    <col collapsed="false" customWidth="true" hidden="false" outlineLevel="0" max="6" min="6" style="0" width="30"/>
  </cols>
  <sheetData>
    <row r="1" customFormat="false" ht="24" hidden="false" customHeight="true" outlineLevel="0" collapsed="false">
      <c r="A1" s="19" t="s">
        <v>588</v>
      </c>
      <c r="B1" s="19"/>
      <c r="C1" s="19"/>
      <c r="D1" s="19"/>
      <c r="E1" s="19"/>
      <c r="F1" s="19"/>
    </row>
    <row r="2" customFormat="false" ht="30" hidden="false" customHeight="true" outlineLevel="0" collapsed="false">
      <c r="A2" s="20" t="s">
        <v>114</v>
      </c>
      <c r="B2" s="20"/>
      <c r="C2" s="20"/>
      <c r="D2" s="20"/>
      <c r="E2" s="20"/>
      <c r="F2" s="20"/>
    </row>
    <row r="4" customFormat="false" ht="27.75" hidden="false" customHeight="true" outlineLevel="0" collapsed="false">
      <c r="A4" s="21" t="s">
        <v>115</v>
      </c>
      <c r="B4" s="21" t="s">
        <v>116</v>
      </c>
      <c r="C4" s="21" t="s">
        <v>117</v>
      </c>
      <c r="D4" s="21" t="s">
        <v>118</v>
      </c>
      <c r="E4" s="21" t="s">
        <v>119</v>
      </c>
      <c r="F4" s="21" t="s">
        <v>31</v>
      </c>
    </row>
    <row r="5" customFormat="false" ht="19.5" hidden="false" customHeight="true" outlineLevel="0" collapsed="false">
      <c r="A5" s="22" t="s">
        <v>589</v>
      </c>
      <c r="B5" s="22"/>
      <c r="C5" s="22"/>
      <c r="D5" s="22"/>
      <c r="E5" s="22"/>
      <c r="F5" s="22"/>
    </row>
    <row r="6" customFormat="false" ht="57.75" hidden="false" customHeight="true" outlineLevel="0" collapsed="false">
      <c r="A6" s="23" t="s">
        <v>65</v>
      </c>
      <c r="B6" s="23" t="s">
        <v>590</v>
      </c>
      <c r="C6" s="24" t="s">
        <v>591</v>
      </c>
      <c r="D6" s="25"/>
      <c r="E6" s="26" t="s">
        <v>592</v>
      </c>
      <c r="F6" s="27"/>
    </row>
    <row r="7" customFormat="false" ht="57.75" hidden="false" customHeight="true" outlineLevel="0" collapsed="false">
      <c r="A7" s="23"/>
      <c r="B7" s="23"/>
      <c r="C7" s="24" t="s">
        <v>593</v>
      </c>
      <c r="D7" s="25"/>
      <c r="E7" s="26" t="s">
        <v>594</v>
      </c>
      <c r="F7" s="27"/>
    </row>
    <row r="8" customFormat="false" ht="57.75" hidden="false" customHeight="true" outlineLevel="0" collapsed="false">
      <c r="A8" s="23"/>
      <c r="B8" s="23"/>
      <c r="C8" s="24" t="s">
        <v>595</v>
      </c>
      <c r="D8" s="25"/>
      <c r="E8" s="26" t="s">
        <v>596</v>
      </c>
      <c r="F8" s="27"/>
    </row>
    <row r="9" customFormat="false" ht="57.75" hidden="false" customHeight="true" outlineLevel="0" collapsed="false">
      <c r="A9" s="23"/>
      <c r="B9" s="23"/>
      <c r="C9" s="24" t="s">
        <v>597</v>
      </c>
      <c r="D9" s="25"/>
      <c r="E9" s="26" t="s">
        <v>598</v>
      </c>
      <c r="F9" s="27"/>
    </row>
    <row r="10" customFormat="false" ht="19.5" hidden="false" customHeight="true" outlineLevel="0" collapsed="false">
      <c r="A10" s="22" t="s">
        <v>599</v>
      </c>
      <c r="B10" s="22"/>
      <c r="C10" s="22"/>
      <c r="D10" s="22"/>
      <c r="E10" s="22"/>
      <c r="F10" s="22"/>
    </row>
    <row r="11" customFormat="false" ht="57.75" hidden="false" customHeight="true" outlineLevel="0" collapsed="false">
      <c r="A11" s="23" t="s">
        <v>67</v>
      </c>
      <c r="B11" s="23" t="s">
        <v>600</v>
      </c>
      <c r="C11" s="24" t="s">
        <v>601</v>
      </c>
      <c r="D11" s="25"/>
      <c r="E11" s="26" t="s">
        <v>602</v>
      </c>
      <c r="F11" s="27"/>
    </row>
    <row r="12" customFormat="false" ht="57.75" hidden="false" customHeight="true" outlineLevel="0" collapsed="false">
      <c r="A12" s="23"/>
      <c r="B12" s="23"/>
      <c r="C12" s="24" t="s">
        <v>603</v>
      </c>
      <c r="D12" s="25"/>
      <c r="E12" s="26" t="s">
        <v>604</v>
      </c>
      <c r="F12" s="27"/>
    </row>
    <row r="13" customFormat="false" ht="57.75" hidden="false" customHeight="true" outlineLevel="0" collapsed="false">
      <c r="A13" s="23"/>
      <c r="B13" s="23"/>
      <c r="C13" s="24" t="s">
        <v>605</v>
      </c>
      <c r="D13" s="25"/>
      <c r="E13" s="26" t="s">
        <v>606</v>
      </c>
      <c r="F13" s="27"/>
    </row>
    <row r="14" customFormat="false" ht="57.75" hidden="false" customHeight="true" outlineLevel="0" collapsed="false">
      <c r="A14" s="23"/>
      <c r="B14" s="23"/>
      <c r="C14" s="24" t="s">
        <v>607</v>
      </c>
      <c r="D14" s="25"/>
      <c r="E14" s="26" t="s">
        <v>608</v>
      </c>
      <c r="F14" s="27"/>
    </row>
    <row r="15" customFormat="false" ht="57.75" hidden="false" customHeight="true" outlineLevel="0" collapsed="false">
      <c r="A15" s="23"/>
      <c r="B15" s="23"/>
      <c r="C15" s="24" t="s">
        <v>609</v>
      </c>
      <c r="D15" s="25"/>
      <c r="E15" s="26" t="s">
        <v>610</v>
      </c>
      <c r="F15" s="27"/>
    </row>
    <row r="16" customFormat="false" ht="57.75" hidden="false" customHeight="true" outlineLevel="0" collapsed="false">
      <c r="A16" s="23"/>
      <c r="B16" s="23"/>
      <c r="C16" s="24" t="s">
        <v>611</v>
      </c>
      <c r="D16" s="25"/>
      <c r="E16" s="26" t="s">
        <v>612</v>
      </c>
      <c r="F16" s="27"/>
    </row>
    <row r="17" customFormat="false" ht="19.5" hidden="false" customHeight="true" outlineLevel="0" collapsed="false">
      <c r="A17" s="22" t="s">
        <v>613</v>
      </c>
      <c r="B17" s="22"/>
      <c r="C17" s="22"/>
      <c r="D17" s="22"/>
      <c r="E17" s="22"/>
      <c r="F17" s="22"/>
    </row>
    <row r="18" customFormat="false" ht="57.75" hidden="false" customHeight="true" outlineLevel="0" collapsed="false">
      <c r="A18" s="23" t="s">
        <v>69</v>
      </c>
      <c r="B18" s="23" t="s">
        <v>614</v>
      </c>
      <c r="C18" s="24" t="s">
        <v>615</v>
      </c>
      <c r="D18" s="25"/>
      <c r="E18" s="26" t="s">
        <v>616</v>
      </c>
      <c r="F18" s="27"/>
    </row>
    <row r="19" customFormat="false" ht="57.75" hidden="false" customHeight="true" outlineLevel="0" collapsed="false">
      <c r="A19" s="23"/>
      <c r="B19" s="23"/>
      <c r="C19" s="24" t="s">
        <v>617</v>
      </c>
      <c r="D19" s="25"/>
      <c r="E19" s="26" t="s">
        <v>618</v>
      </c>
      <c r="F19" s="27"/>
    </row>
    <row r="20" customFormat="false" ht="19.5" hidden="false" customHeight="true" outlineLevel="0" collapsed="false">
      <c r="A20" s="22" t="s">
        <v>619</v>
      </c>
      <c r="B20" s="22"/>
      <c r="C20" s="22"/>
      <c r="D20" s="22"/>
      <c r="E20" s="22"/>
      <c r="F20" s="22"/>
    </row>
    <row r="21" customFormat="false" ht="57.75" hidden="false" customHeight="true" outlineLevel="0" collapsed="false">
      <c r="A21" s="23" t="s">
        <v>71</v>
      </c>
      <c r="B21" s="23" t="s">
        <v>620</v>
      </c>
      <c r="C21" s="24" t="s">
        <v>621</v>
      </c>
      <c r="D21" s="25"/>
      <c r="E21" s="26" t="s">
        <v>622</v>
      </c>
      <c r="F21" s="27"/>
    </row>
    <row r="22" customFormat="false" ht="57.75" hidden="false" customHeight="true" outlineLevel="0" collapsed="false">
      <c r="A22" s="23"/>
      <c r="B22" s="23"/>
      <c r="C22" s="24" t="s">
        <v>623</v>
      </c>
      <c r="D22" s="25"/>
      <c r="E22" s="26" t="s">
        <v>624</v>
      </c>
      <c r="F22" s="27"/>
    </row>
    <row r="23" customFormat="false" ht="19.5" hidden="false" customHeight="true" outlineLevel="0" collapsed="false">
      <c r="A23" s="22" t="s">
        <v>625</v>
      </c>
      <c r="B23" s="22"/>
      <c r="C23" s="22"/>
      <c r="D23" s="22"/>
      <c r="E23" s="22"/>
      <c r="F23" s="22"/>
    </row>
    <row r="24" customFormat="false" ht="57.75" hidden="false" customHeight="true" outlineLevel="0" collapsed="false">
      <c r="A24" s="23" t="s">
        <v>73</v>
      </c>
      <c r="B24" s="23" t="s">
        <v>626</v>
      </c>
      <c r="C24" s="24" t="s">
        <v>627</v>
      </c>
      <c r="D24" s="25"/>
      <c r="E24" s="26" t="s">
        <v>628</v>
      </c>
      <c r="F24" s="27"/>
    </row>
    <row r="25" customFormat="false" ht="57.75" hidden="false" customHeight="true" outlineLevel="0" collapsed="false">
      <c r="A25" s="23"/>
      <c r="B25" s="23"/>
      <c r="C25" s="24" t="s">
        <v>629</v>
      </c>
      <c r="D25" s="25"/>
      <c r="E25" s="26" t="s">
        <v>630</v>
      </c>
      <c r="F25" s="27"/>
    </row>
    <row r="26" customFormat="false" ht="57.75" hidden="false" customHeight="true" outlineLevel="0" collapsed="false">
      <c r="A26" s="23"/>
      <c r="B26" s="23"/>
      <c r="C26" s="24" t="s">
        <v>631</v>
      </c>
      <c r="D26" s="25"/>
      <c r="E26" s="26" t="s">
        <v>632</v>
      </c>
      <c r="F26" s="27"/>
    </row>
    <row r="27" customFormat="false" ht="57.75" hidden="false" customHeight="true" outlineLevel="0" collapsed="false">
      <c r="A27" s="23"/>
      <c r="B27" s="23"/>
      <c r="C27" s="24" t="s">
        <v>633</v>
      </c>
      <c r="D27" s="25"/>
      <c r="E27" s="26" t="s">
        <v>634</v>
      </c>
      <c r="F27" s="27"/>
    </row>
    <row r="28" customFormat="false" ht="57.75" hidden="false" customHeight="true" outlineLevel="0" collapsed="false">
      <c r="A28" s="23"/>
      <c r="B28" s="23"/>
      <c r="C28" s="24" t="s">
        <v>635</v>
      </c>
      <c r="D28" s="25"/>
      <c r="E28" s="26" t="s">
        <v>636</v>
      </c>
      <c r="F28" s="27"/>
    </row>
    <row r="29" customFormat="false" ht="57.75" hidden="false" customHeight="true" outlineLevel="0" collapsed="false">
      <c r="A29" s="23"/>
      <c r="B29" s="23"/>
      <c r="C29" s="24" t="s">
        <v>637</v>
      </c>
      <c r="D29" s="25"/>
      <c r="E29" s="26" t="s">
        <v>636</v>
      </c>
      <c r="F29" s="27"/>
    </row>
    <row r="30" customFormat="false" ht="19.5" hidden="false" customHeight="true" outlineLevel="0" collapsed="false">
      <c r="A30" s="22" t="s">
        <v>638</v>
      </c>
      <c r="B30" s="22"/>
      <c r="C30" s="22"/>
      <c r="D30" s="22"/>
      <c r="E30" s="22"/>
      <c r="F30" s="22"/>
    </row>
    <row r="31" customFormat="false" ht="57.75" hidden="false" customHeight="true" outlineLevel="0" collapsed="false">
      <c r="A31" s="23" t="s">
        <v>75</v>
      </c>
      <c r="B31" s="23" t="s">
        <v>639</v>
      </c>
      <c r="C31" s="24" t="s">
        <v>640</v>
      </c>
      <c r="D31" s="25"/>
      <c r="E31" s="26" t="s">
        <v>641</v>
      </c>
      <c r="F31" s="27"/>
    </row>
    <row r="32" customFormat="false" ht="57.75" hidden="false" customHeight="true" outlineLevel="0" collapsed="false">
      <c r="A32" s="23"/>
      <c r="B32" s="23"/>
      <c r="C32" s="24" t="s">
        <v>642</v>
      </c>
      <c r="D32" s="25"/>
      <c r="E32" s="26" t="s">
        <v>643</v>
      </c>
      <c r="F32" s="27"/>
    </row>
    <row r="33" customFormat="false" ht="19.5" hidden="false" customHeight="true" outlineLevel="0" collapsed="false">
      <c r="A33" s="22" t="s">
        <v>644</v>
      </c>
      <c r="B33" s="22"/>
      <c r="C33" s="22"/>
      <c r="D33" s="22"/>
      <c r="E33" s="22"/>
      <c r="F33" s="22"/>
    </row>
    <row r="34" customFormat="false" ht="57.75" hidden="false" customHeight="true" outlineLevel="0" collapsed="false">
      <c r="A34" s="23" t="s">
        <v>77</v>
      </c>
      <c r="B34" s="23" t="s">
        <v>645</v>
      </c>
      <c r="C34" s="24" t="s">
        <v>646</v>
      </c>
      <c r="D34" s="25"/>
      <c r="E34" s="26" t="s">
        <v>647</v>
      </c>
      <c r="F34" s="27"/>
    </row>
    <row r="35" customFormat="false" ht="57.75" hidden="false" customHeight="true" outlineLevel="0" collapsed="false">
      <c r="A35" s="23"/>
      <c r="B35" s="23"/>
      <c r="C35" s="24" t="s">
        <v>648</v>
      </c>
      <c r="D35" s="25"/>
      <c r="E35" s="26" t="s">
        <v>649</v>
      </c>
      <c r="F35" s="27"/>
    </row>
    <row r="36" customFormat="false" ht="57.75" hidden="false" customHeight="true" outlineLevel="0" collapsed="false">
      <c r="A36" s="23"/>
      <c r="B36" s="23"/>
      <c r="C36" s="24" t="s">
        <v>650</v>
      </c>
      <c r="D36" s="25"/>
      <c r="E36" s="26" t="s">
        <v>651</v>
      </c>
      <c r="F36" s="27"/>
    </row>
    <row r="37" customFormat="false" ht="57.75" hidden="false" customHeight="true" outlineLevel="0" collapsed="false">
      <c r="A37" s="23" t="s">
        <v>77</v>
      </c>
      <c r="B37" s="23" t="s">
        <v>652</v>
      </c>
      <c r="C37" s="24" t="s">
        <v>653</v>
      </c>
      <c r="D37" s="25"/>
      <c r="E37" s="26" t="s">
        <v>654</v>
      </c>
      <c r="F37" s="27"/>
    </row>
    <row r="38" customFormat="false" ht="57.75" hidden="false" customHeight="true" outlineLevel="0" collapsed="false">
      <c r="A38" s="23"/>
      <c r="B38" s="23"/>
      <c r="C38" s="24" t="s">
        <v>655</v>
      </c>
      <c r="D38" s="25"/>
      <c r="E38" s="26" t="s">
        <v>656</v>
      </c>
      <c r="F38" s="27"/>
    </row>
    <row r="39" customFormat="false" ht="57.75" hidden="false" customHeight="true" outlineLevel="0" collapsed="false">
      <c r="A39" s="23"/>
      <c r="B39" s="23"/>
      <c r="C39" s="24" t="s">
        <v>657</v>
      </c>
      <c r="D39" s="25"/>
      <c r="E39" s="26" t="s">
        <v>658</v>
      </c>
      <c r="F39" s="27"/>
    </row>
    <row r="40" customFormat="false" ht="19.5" hidden="false" customHeight="true" outlineLevel="0" collapsed="false">
      <c r="A40" s="22" t="s">
        <v>659</v>
      </c>
      <c r="B40" s="22"/>
      <c r="C40" s="22"/>
      <c r="D40" s="22"/>
      <c r="E40" s="22"/>
      <c r="F40" s="22"/>
    </row>
    <row r="41" customFormat="false" ht="57.75" hidden="false" customHeight="true" outlineLevel="0" collapsed="false">
      <c r="A41" s="23" t="s">
        <v>79</v>
      </c>
      <c r="B41" s="23" t="s">
        <v>660</v>
      </c>
      <c r="C41" s="24" t="s">
        <v>661</v>
      </c>
      <c r="D41" s="25"/>
      <c r="E41" s="26" t="s">
        <v>662</v>
      </c>
      <c r="F41" s="27"/>
    </row>
    <row r="42" customFormat="false" ht="57.75" hidden="false" customHeight="true" outlineLevel="0" collapsed="false">
      <c r="A42" s="23"/>
      <c r="B42" s="23"/>
      <c r="C42" s="24" t="s">
        <v>663</v>
      </c>
      <c r="D42" s="25"/>
      <c r="E42" s="26" t="s">
        <v>664</v>
      </c>
      <c r="F42" s="27"/>
    </row>
    <row r="43" customFormat="false" ht="19.5" hidden="false" customHeight="true" outlineLevel="0" collapsed="false">
      <c r="A43" s="22" t="s">
        <v>665</v>
      </c>
      <c r="B43" s="22"/>
      <c r="C43" s="22"/>
      <c r="D43" s="22"/>
      <c r="E43" s="22"/>
      <c r="F43" s="22"/>
    </row>
    <row r="44" customFormat="false" ht="57.75" hidden="false" customHeight="true" outlineLevel="0" collapsed="false">
      <c r="A44" s="23" t="s">
        <v>81</v>
      </c>
      <c r="B44" s="23" t="s">
        <v>666</v>
      </c>
      <c r="C44" s="24" t="s">
        <v>667</v>
      </c>
      <c r="D44" s="25"/>
      <c r="E44" s="26" t="s">
        <v>668</v>
      </c>
      <c r="F44" s="27"/>
    </row>
    <row r="45" customFormat="false" ht="57.75" hidden="false" customHeight="true" outlineLevel="0" collapsed="false">
      <c r="A45" s="23"/>
      <c r="B45" s="23"/>
      <c r="C45" s="24" t="s">
        <v>669</v>
      </c>
      <c r="D45" s="25"/>
      <c r="E45" s="26" t="s">
        <v>670</v>
      </c>
      <c r="F45" s="27"/>
    </row>
    <row r="46" customFormat="false" ht="57.75" hidden="false" customHeight="true" outlineLevel="0" collapsed="false">
      <c r="A46" s="23"/>
      <c r="B46" s="23"/>
      <c r="C46" s="24" t="s">
        <v>671</v>
      </c>
      <c r="D46" s="25"/>
      <c r="E46" s="26" t="s">
        <v>672</v>
      </c>
      <c r="F46" s="27"/>
    </row>
    <row r="47" customFormat="false" ht="57.75" hidden="false" customHeight="true" outlineLevel="0" collapsed="false">
      <c r="A47" s="23"/>
      <c r="B47" s="23"/>
      <c r="C47" s="24" t="s">
        <v>673</v>
      </c>
      <c r="D47" s="25"/>
      <c r="E47" s="26" t="s">
        <v>674</v>
      </c>
      <c r="F47" s="27"/>
    </row>
    <row r="48" customFormat="false" ht="57.75" hidden="false" customHeight="true" outlineLevel="0" collapsed="false">
      <c r="A48" s="23"/>
      <c r="B48" s="23"/>
      <c r="C48" s="24" t="s">
        <v>675</v>
      </c>
      <c r="D48" s="25"/>
      <c r="E48" s="26" t="s">
        <v>676</v>
      </c>
      <c r="F48" s="27"/>
    </row>
    <row r="49" customFormat="false" ht="19.5" hidden="false" customHeight="true" outlineLevel="0" collapsed="false">
      <c r="A49" s="22" t="s">
        <v>677</v>
      </c>
      <c r="B49" s="22"/>
      <c r="C49" s="22"/>
      <c r="D49" s="22"/>
      <c r="E49" s="22"/>
      <c r="F49" s="22"/>
    </row>
    <row r="50" customFormat="false" ht="57.75" hidden="false" customHeight="true" outlineLevel="0" collapsed="false">
      <c r="A50" s="23" t="s">
        <v>83</v>
      </c>
      <c r="B50" s="23" t="s">
        <v>678</v>
      </c>
      <c r="C50" s="24" t="s">
        <v>679</v>
      </c>
      <c r="D50" s="25"/>
      <c r="E50" s="26" t="s">
        <v>680</v>
      </c>
      <c r="F50" s="27"/>
    </row>
    <row r="51" customFormat="false" ht="57.75" hidden="false" customHeight="true" outlineLevel="0" collapsed="false">
      <c r="A51" s="23"/>
      <c r="B51" s="23"/>
      <c r="C51" s="24" t="s">
        <v>681</v>
      </c>
      <c r="D51" s="25"/>
      <c r="E51" s="26" t="s">
        <v>682</v>
      </c>
      <c r="F51" s="27"/>
    </row>
    <row r="52" customFormat="false" ht="57.75" hidden="false" customHeight="true" outlineLevel="0" collapsed="false">
      <c r="A52" s="23"/>
      <c r="B52" s="23"/>
      <c r="C52" s="24" t="s">
        <v>683</v>
      </c>
      <c r="D52" s="25"/>
      <c r="E52" s="26" t="s">
        <v>684</v>
      </c>
      <c r="F52" s="27"/>
    </row>
    <row r="53" customFormat="false" ht="57.75" hidden="false" customHeight="true" outlineLevel="0" collapsed="false">
      <c r="A53" s="23"/>
      <c r="B53" s="23"/>
      <c r="C53" s="24" t="s">
        <v>685</v>
      </c>
      <c r="D53" s="25"/>
      <c r="E53" s="26" t="s">
        <v>686</v>
      </c>
      <c r="F53" s="27"/>
    </row>
    <row r="54" customFormat="false" ht="57.75" hidden="false" customHeight="true" outlineLevel="0" collapsed="false">
      <c r="A54" s="23"/>
      <c r="B54" s="23"/>
      <c r="C54" s="24" t="s">
        <v>687</v>
      </c>
      <c r="D54" s="25"/>
      <c r="E54" s="26" t="s">
        <v>688</v>
      </c>
      <c r="F54" s="27"/>
    </row>
    <row r="55" customFormat="false" ht="57.75" hidden="false" customHeight="true" outlineLevel="0" collapsed="false">
      <c r="A55" s="23"/>
      <c r="B55" s="23"/>
      <c r="C55" s="24" t="s">
        <v>689</v>
      </c>
      <c r="D55" s="25"/>
      <c r="E55" s="26" t="s">
        <v>690</v>
      </c>
      <c r="F55" s="27"/>
    </row>
    <row r="56" customFormat="false" ht="57.75" hidden="false" customHeight="true" outlineLevel="0" collapsed="false">
      <c r="A56" s="23"/>
      <c r="B56" s="23"/>
      <c r="C56" s="24" t="s">
        <v>691</v>
      </c>
      <c r="D56" s="25"/>
      <c r="E56" s="26" t="s">
        <v>692</v>
      </c>
      <c r="F56" s="27"/>
    </row>
    <row r="58" customFormat="false" ht="24" hidden="false" customHeight="true" outlineLevel="0" collapsed="false">
      <c r="A58" s="28" t="s">
        <v>693</v>
      </c>
      <c r="B58" s="28"/>
      <c r="C58" s="28"/>
      <c r="D58" s="28"/>
      <c r="E58" s="28"/>
      <c r="F58" s="28"/>
    </row>
    <row r="59" customFormat="false" ht="23.85" hidden="false" customHeight="false" outlineLevel="0" collapsed="false">
      <c r="A59" s="15" t="s">
        <v>115</v>
      </c>
      <c r="B59" s="15" t="s">
        <v>28</v>
      </c>
      <c r="C59" s="15" t="s">
        <v>358</v>
      </c>
      <c r="D59" s="15" t="s">
        <v>109</v>
      </c>
      <c r="E59" s="15" t="s">
        <v>110</v>
      </c>
      <c r="F59" s="15" t="s">
        <v>111</v>
      </c>
    </row>
    <row r="60" customFormat="false" ht="15" hidden="false" customHeight="false" outlineLevel="0" collapsed="false">
      <c r="A60" s="29" t="s">
        <v>65</v>
      </c>
      <c r="B60" s="30" t="s">
        <v>694</v>
      </c>
      <c r="C60" s="31" t="n">
        <v>4</v>
      </c>
      <c r="D60" s="32" t="n">
        <f aca="false">SUMPRODUCT((D6:D9&lt;&gt;"TDD")*IFERROR(D6:D9,0))</f>
        <v>0</v>
      </c>
      <c r="E60" s="32" t="n">
        <f aca="false">COUNTIF(D6:D9,"&lt;&gt;TDD")*10</f>
        <v>40</v>
      </c>
      <c r="F60" s="33" t="n">
        <f aca="false">IFERROR(D60/E60,0)</f>
        <v>0</v>
      </c>
    </row>
    <row r="61" customFormat="false" ht="15" hidden="false" customHeight="false" outlineLevel="0" collapsed="false">
      <c r="A61" s="29" t="s">
        <v>67</v>
      </c>
      <c r="B61" s="30" t="s">
        <v>695</v>
      </c>
      <c r="C61" s="31" t="n">
        <v>6</v>
      </c>
      <c r="D61" s="32" t="n">
        <f aca="false">SUMPRODUCT((D11:D16&lt;&gt;"TDD")*IFERROR(D11:D16,0))</f>
        <v>0</v>
      </c>
      <c r="E61" s="32" t="n">
        <f aca="false">COUNTIF(D11:D16,"&lt;&gt;TDD")*10</f>
        <v>60</v>
      </c>
      <c r="F61" s="33" t="n">
        <f aca="false">IFERROR(D61/E61,0)</f>
        <v>0</v>
      </c>
    </row>
    <row r="62" customFormat="false" ht="15" hidden="false" customHeight="false" outlineLevel="0" collapsed="false">
      <c r="A62" s="29" t="s">
        <v>69</v>
      </c>
      <c r="B62" s="30" t="s">
        <v>696</v>
      </c>
      <c r="C62" s="31" t="n">
        <v>2</v>
      </c>
      <c r="D62" s="32" t="n">
        <f aca="false">SUMPRODUCT((D18:D19&lt;&gt;"TDD")*IFERROR(D18:D19,0))</f>
        <v>0</v>
      </c>
      <c r="E62" s="32" t="n">
        <f aca="false">COUNTIF(D18:D19,"&lt;&gt;TDD")*10</f>
        <v>20</v>
      </c>
      <c r="F62" s="33" t="n">
        <f aca="false">IFERROR(D62/E62,0)</f>
        <v>0</v>
      </c>
    </row>
    <row r="63" customFormat="false" ht="15" hidden="false" customHeight="false" outlineLevel="0" collapsed="false">
      <c r="A63" s="29" t="s">
        <v>71</v>
      </c>
      <c r="B63" s="30" t="s">
        <v>697</v>
      </c>
      <c r="C63" s="31" t="n">
        <v>2</v>
      </c>
      <c r="D63" s="32" t="n">
        <f aca="false">SUMPRODUCT((D21:D22&lt;&gt;"TDD")*IFERROR(D21:D22,0))</f>
        <v>0</v>
      </c>
      <c r="E63" s="32" t="n">
        <f aca="false">COUNTIF(D21:D22,"&lt;&gt;TDD")*10</f>
        <v>20</v>
      </c>
      <c r="F63" s="33" t="n">
        <f aca="false">IFERROR(D63/E63,0)</f>
        <v>0</v>
      </c>
    </row>
    <row r="64" customFormat="false" ht="15" hidden="false" customHeight="false" outlineLevel="0" collapsed="false">
      <c r="A64" s="29" t="s">
        <v>73</v>
      </c>
      <c r="B64" s="30" t="s">
        <v>698</v>
      </c>
      <c r="C64" s="31" t="n">
        <v>6</v>
      </c>
      <c r="D64" s="32" t="n">
        <f aca="false">SUMPRODUCT((D24:D29&lt;&gt;"TDD")*IFERROR(D24:D29,0))</f>
        <v>0</v>
      </c>
      <c r="E64" s="32" t="n">
        <f aca="false">COUNTIF(D24:D29,"&lt;&gt;TDD")*10</f>
        <v>60</v>
      </c>
      <c r="F64" s="33" t="n">
        <f aca="false">IFERROR(D64/E64,0)</f>
        <v>0</v>
      </c>
    </row>
    <row r="65" customFormat="false" ht="15" hidden="false" customHeight="false" outlineLevel="0" collapsed="false">
      <c r="A65" s="29" t="s">
        <v>75</v>
      </c>
      <c r="B65" s="30" t="s">
        <v>699</v>
      </c>
      <c r="C65" s="31" t="n">
        <v>2</v>
      </c>
      <c r="D65" s="32" t="n">
        <f aca="false">SUMPRODUCT((D31:D32&lt;&gt;"TDD")*IFERROR(D31:D32,0))</f>
        <v>0</v>
      </c>
      <c r="E65" s="32" t="n">
        <f aca="false">COUNTIF(D31:D32,"&lt;&gt;TDD")*10</f>
        <v>20</v>
      </c>
      <c r="F65" s="33" t="n">
        <f aca="false">IFERROR(D65/E65,0)</f>
        <v>0</v>
      </c>
    </row>
    <row r="66" customFormat="false" ht="15" hidden="false" customHeight="false" outlineLevel="0" collapsed="false">
      <c r="A66" s="29" t="s">
        <v>77</v>
      </c>
      <c r="B66" s="30" t="s">
        <v>700</v>
      </c>
      <c r="C66" s="31" t="n">
        <v>6</v>
      </c>
      <c r="D66" s="32" t="n">
        <f aca="false">SUMPRODUCT((D34:D39&lt;&gt;"TDD")*IFERROR(D34:D39,0))</f>
        <v>0</v>
      </c>
      <c r="E66" s="32" t="n">
        <f aca="false">COUNTIF(D34:D39,"&lt;&gt;TDD")*10</f>
        <v>60</v>
      </c>
      <c r="F66" s="33" t="n">
        <f aca="false">IFERROR(D66/E66,0)</f>
        <v>0</v>
      </c>
    </row>
    <row r="67" customFormat="false" ht="15" hidden="false" customHeight="false" outlineLevel="0" collapsed="false">
      <c r="A67" s="29" t="s">
        <v>79</v>
      </c>
      <c r="B67" s="30" t="s">
        <v>701</v>
      </c>
      <c r="C67" s="31" t="n">
        <v>2</v>
      </c>
      <c r="D67" s="32" t="n">
        <f aca="false">SUMPRODUCT((D41:D42&lt;&gt;"TDD")*IFERROR(D41:D42,0))</f>
        <v>0</v>
      </c>
      <c r="E67" s="32" t="n">
        <f aca="false">COUNTIF(D41:D42,"&lt;&gt;TDD")*10</f>
        <v>20</v>
      </c>
      <c r="F67" s="33" t="n">
        <f aca="false">IFERROR(D67/E67,0)</f>
        <v>0</v>
      </c>
    </row>
    <row r="68" customFormat="false" ht="15" hidden="false" customHeight="false" outlineLevel="0" collapsed="false">
      <c r="A68" s="29" t="s">
        <v>81</v>
      </c>
      <c r="B68" s="30" t="s">
        <v>702</v>
      </c>
      <c r="C68" s="31" t="n">
        <v>5</v>
      </c>
      <c r="D68" s="32" t="n">
        <f aca="false">SUMPRODUCT((D44:D48&lt;&gt;"TDD")*IFERROR(D44:D48,0))</f>
        <v>0</v>
      </c>
      <c r="E68" s="32" t="n">
        <f aca="false">COUNTIF(D44:D48,"&lt;&gt;TDD")*10</f>
        <v>50</v>
      </c>
      <c r="F68" s="33" t="n">
        <f aca="false">IFERROR(D68/E68,0)</f>
        <v>0</v>
      </c>
    </row>
    <row r="69" customFormat="false" ht="15" hidden="false" customHeight="false" outlineLevel="0" collapsed="false">
      <c r="A69" s="29" t="s">
        <v>83</v>
      </c>
      <c r="B69" s="30" t="s">
        <v>703</v>
      </c>
      <c r="C69" s="31" t="n">
        <v>7</v>
      </c>
      <c r="D69" s="32" t="n">
        <f aca="false">SUMPRODUCT((D50:D56&lt;&gt;"TDD")*IFERROR(D50:D56,0))</f>
        <v>0</v>
      </c>
      <c r="E69" s="32" t="n">
        <f aca="false">COUNTIF(D50:D56,"&lt;&gt;TDD")*10</f>
        <v>70</v>
      </c>
      <c r="F69" s="33" t="n">
        <f aca="false">IFERROR(D69/E69,0)</f>
        <v>0</v>
      </c>
    </row>
    <row r="70" customFormat="false" ht="15" hidden="false" customHeight="false" outlineLevel="0" collapsed="false">
      <c r="A70" s="34" t="s">
        <v>704</v>
      </c>
      <c r="B70" s="34"/>
      <c r="C70" s="35" t="n">
        <f aca="false">SUM(C60:C69)</f>
        <v>42</v>
      </c>
      <c r="D70" s="36" t="n">
        <f aca="false">SUM(D60:D69)</f>
        <v>0</v>
      </c>
      <c r="E70" s="36" t="n">
        <f aca="false">SUM(E60:E69)</f>
        <v>420</v>
      </c>
      <c r="F70" s="37" t="n">
        <f aca="false">IFERROR(D70/E70,0)</f>
        <v>0</v>
      </c>
    </row>
  </sheetData>
  <mergeCells count="14">
    <mergeCell ref="A1:F1"/>
    <mergeCell ref="A2:F2"/>
    <mergeCell ref="A5:F5"/>
    <mergeCell ref="A10:F10"/>
    <mergeCell ref="A17:F17"/>
    <mergeCell ref="A20:F20"/>
    <mergeCell ref="A23:F23"/>
    <mergeCell ref="A30:F30"/>
    <mergeCell ref="A33:F33"/>
    <mergeCell ref="A40:F40"/>
    <mergeCell ref="A43:F43"/>
    <mergeCell ref="A49:F49"/>
    <mergeCell ref="A58:F58"/>
    <mergeCell ref="A70:B70"/>
  </mergeCells>
  <dataValidations count="1">
    <dataValidation allowBlank="true" error="Nilai harus 0, 5, 10, atau TDD (Tidak Dapat Dinilai)." errorStyle="stop" errorTitle="Error" operator="between" showDropDown="false" showErrorMessage="true" showInputMessage="false" sqref="D6:D9 D11:D16 D18:D19 D21:D22 D24:D29 D31:D32 D34:D39 D41:D42 D44:D48 D50:D56"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48"/>
    <col collapsed="false" customWidth="true" hidden="false" outlineLevel="0" max="4" min="4" style="0" width="10"/>
    <col collapsed="false" customWidth="true" hidden="false" outlineLevel="0" max="5" min="5" style="0" width="32"/>
    <col collapsed="false" customWidth="true" hidden="false" outlineLevel="0" max="6" min="6" style="0" width="30"/>
  </cols>
  <sheetData>
    <row r="1" customFormat="false" ht="24" hidden="false" customHeight="true" outlineLevel="0" collapsed="false">
      <c r="A1" s="19" t="s">
        <v>705</v>
      </c>
      <c r="B1" s="19"/>
      <c r="C1" s="19"/>
      <c r="D1" s="19"/>
      <c r="E1" s="19"/>
      <c r="F1" s="19"/>
    </row>
    <row r="2" customFormat="false" ht="30" hidden="false" customHeight="true" outlineLevel="0" collapsed="false">
      <c r="A2" s="20" t="s">
        <v>114</v>
      </c>
      <c r="B2" s="20"/>
      <c r="C2" s="20"/>
      <c r="D2" s="20"/>
      <c r="E2" s="20"/>
      <c r="F2" s="20"/>
    </row>
    <row r="4" customFormat="false" ht="27.75" hidden="false" customHeight="true" outlineLevel="0" collapsed="false">
      <c r="A4" s="21" t="s">
        <v>115</v>
      </c>
      <c r="B4" s="21" t="s">
        <v>116</v>
      </c>
      <c r="C4" s="21" t="s">
        <v>117</v>
      </c>
      <c r="D4" s="21" t="s">
        <v>118</v>
      </c>
      <c r="E4" s="21" t="s">
        <v>119</v>
      </c>
      <c r="F4" s="21" t="s">
        <v>31</v>
      </c>
    </row>
    <row r="5" customFormat="false" ht="19.5" hidden="false" customHeight="true" outlineLevel="0" collapsed="false">
      <c r="A5" s="22" t="s">
        <v>706</v>
      </c>
      <c r="B5" s="22"/>
      <c r="C5" s="22"/>
      <c r="D5" s="22"/>
      <c r="E5" s="22"/>
      <c r="F5" s="22"/>
    </row>
    <row r="6" customFormat="false" ht="57.75" hidden="false" customHeight="true" outlineLevel="0" collapsed="false">
      <c r="A6" s="23" t="s">
        <v>86</v>
      </c>
      <c r="B6" s="23" t="s">
        <v>707</v>
      </c>
      <c r="C6" s="24" t="s">
        <v>708</v>
      </c>
      <c r="D6" s="25"/>
      <c r="E6" s="26" t="s">
        <v>709</v>
      </c>
      <c r="F6" s="27"/>
    </row>
    <row r="7" customFormat="false" ht="57.75" hidden="false" customHeight="true" outlineLevel="0" collapsed="false">
      <c r="A7" s="23"/>
      <c r="B7" s="23"/>
      <c r="C7" s="24" t="s">
        <v>710</v>
      </c>
      <c r="D7" s="25"/>
      <c r="E7" s="26" t="s">
        <v>711</v>
      </c>
      <c r="F7" s="27"/>
    </row>
    <row r="8" customFormat="false" ht="57.75" hidden="false" customHeight="true" outlineLevel="0" collapsed="false">
      <c r="A8" s="23"/>
      <c r="B8" s="23"/>
      <c r="C8" s="24" t="s">
        <v>712</v>
      </c>
      <c r="D8" s="25"/>
      <c r="E8" s="26" t="s">
        <v>713</v>
      </c>
      <c r="F8" s="27"/>
    </row>
    <row r="9" customFormat="false" ht="57.75" hidden="false" customHeight="true" outlineLevel="0" collapsed="false">
      <c r="A9" s="23"/>
      <c r="B9" s="23"/>
      <c r="C9" s="24" t="s">
        <v>714</v>
      </c>
      <c r="D9" s="25"/>
      <c r="E9" s="26" t="s">
        <v>715</v>
      </c>
      <c r="F9" s="27"/>
    </row>
    <row r="10" customFormat="false" ht="57.75" hidden="false" customHeight="true" outlineLevel="0" collapsed="false">
      <c r="A10" s="23"/>
      <c r="B10" s="23"/>
      <c r="C10" s="24" t="s">
        <v>473</v>
      </c>
      <c r="D10" s="25"/>
      <c r="E10" s="26" t="s">
        <v>716</v>
      </c>
      <c r="F10" s="27"/>
    </row>
    <row r="11" customFormat="false" ht="19.5" hidden="false" customHeight="true" outlineLevel="0" collapsed="false">
      <c r="A11" s="22" t="s">
        <v>717</v>
      </c>
      <c r="B11" s="22"/>
      <c r="C11" s="22"/>
      <c r="D11" s="22"/>
      <c r="E11" s="22"/>
      <c r="F11" s="22"/>
    </row>
    <row r="12" customFormat="false" ht="57.75" hidden="false" customHeight="true" outlineLevel="0" collapsed="false">
      <c r="A12" s="23" t="s">
        <v>88</v>
      </c>
      <c r="B12" s="23" t="s">
        <v>718</v>
      </c>
      <c r="C12" s="24" t="s">
        <v>719</v>
      </c>
      <c r="D12" s="25"/>
      <c r="E12" s="26" t="s">
        <v>720</v>
      </c>
      <c r="F12" s="27"/>
    </row>
    <row r="13" customFormat="false" ht="57.75" hidden="false" customHeight="true" outlineLevel="0" collapsed="false">
      <c r="A13" s="23"/>
      <c r="B13" s="23"/>
      <c r="C13" s="24" t="s">
        <v>721</v>
      </c>
      <c r="D13" s="25"/>
      <c r="E13" s="26" t="s">
        <v>722</v>
      </c>
      <c r="F13" s="27"/>
    </row>
    <row r="14" customFormat="false" ht="57.75" hidden="false" customHeight="true" outlineLevel="0" collapsed="false">
      <c r="A14" s="23"/>
      <c r="B14" s="23"/>
      <c r="C14" s="24" t="s">
        <v>723</v>
      </c>
      <c r="D14" s="25"/>
      <c r="E14" s="26" t="s">
        <v>724</v>
      </c>
      <c r="F14" s="27"/>
    </row>
    <row r="15" customFormat="false" ht="57.75" hidden="false" customHeight="true" outlineLevel="0" collapsed="false">
      <c r="A15" s="23"/>
      <c r="B15" s="23"/>
      <c r="C15" s="24" t="s">
        <v>725</v>
      </c>
      <c r="D15" s="25"/>
      <c r="E15" s="26" t="s">
        <v>726</v>
      </c>
      <c r="F15" s="27"/>
    </row>
    <row r="16" customFormat="false" ht="57.75" hidden="false" customHeight="true" outlineLevel="0" collapsed="false">
      <c r="A16" s="23"/>
      <c r="B16" s="23"/>
      <c r="C16" s="24" t="s">
        <v>727</v>
      </c>
      <c r="D16" s="25"/>
      <c r="E16" s="26" t="s">
        <v>728</v>
      </c>
      <c r="F16" s="27"/>
    </row>
    <row r="17" customFormat="false" ht="57.75" hidden="false" customHeight="true" outlineLevel="0" collapsed="false">
      <c r="A17" s="23"/>
      <c r="B17" s="23"/>
      <c r="C17" s="24" t="s">
        <v>729</v>
      </c>
      <c r="D17" s="25"/>
      <c r="E17" s="26" t="s">
        <v>730</v>
      </c>
      <c r="F17" s="27"/>
    </row>
    <row r="18" customFormat="false" ht="57.75" hidden="false" customHeight="true" outlineLevel="0" collapsed="false">
      <c r="A18" s="23"/>
      <c r="B18" s="23"/>
      <c r="C18" s="24" t="s">
        <v>731</v>
      </c>
      <c r="D18" s="25"/>
      <c r="E18" s="26" t="s">
        <v>732</v>
      </c>
      <c r="F18" s="27"/>
    </row>
    <row r="19" customFormat="false" ht="19.5" hidden="false" customHeight="true" outlineLevel="0" collapsed="false">
      <c r="A19" s="22" t="s">
        <v>733</v>
      </c>
      <c r="B19" s="22"/>
      <c r="C19" s="22"/>
      <c r="D19" s="22"/>
      <c r="E19" s="22"/>
      <c r="F19" s="22"/>
    </row>
    <row r="20" customFormat="false" ht="57.75" hidden="false" customHeight="true" outlineLevel="0" collapsed="false">
      <c r="A20" s="23" t="s">
        <v>90</v>
      </c>
      <c r="B20" s="23" t="s">
        <v>734</v>
      </c>
      <c r="C20" s="24" t="s">
        <v>735</v>
      </c>
      <c r="D20" s="25"/>
      <c r="E20" s="26" t="s">
        <v>736</v>
      </c>
      <c r="F20" s="27"/>
    </row>
    <row r="21" customFormat="false" ht="57.75" hidden="false" customHeight="true" outlineLevel="0" collapsed="false">
      <c r="A21" s="23"/>
      <c r="B21" s="23"/>
      <c r="C21" s="24" t="s">
        <v>737</v>
      </c>
      <c r="D21" s="25"/>
      <c r="E21" s="26" t="s">
        <v>738</v>
      </c>
      <c r="F21" s="27"/>
    </row>
    <row r="22" customFormat="false" ht="57.75" hidden="false" customHeight="true" outlineLevel="0" collapsed="false">
      <c r="A22" s="23"/>
      <c r="B22" s="23"/>
      <c r="C22" s="24" t="s">
        <v>739</v>
      </c>
      <c r="D22" s="25"/>
      <c r="E22" s="26" t="s">
        <v>740</v>
      </c>
      <c r="F22" s="27"/>
    </row>
    <row r="23" customFormat="false" ht="57.75" hidden="false" customHeight="true" outlineLevel="0" collapsed="false">
      <c r="A23" s="23"/>
      <c r="B23" s="23"/>
      <c r="C23" s="24" t="s">
        <v>741</v>
      </c>
      <c r="D23" s="25"/>
      <c r="E23" s="26" t="s">
        <v>742</v>
      </c>
      <c r="F23" s="27"/>
    </row>
    <row r="24" customFormat="false" ht="57.75" hidden="false" customHeight="true" outlineLevel="0" collapsed="false">
      <c r="A24" s="23"/>
      <c r="B24" s="23"/>
      <c r="C24" s="24" t="s">
        <v>743</v>
      </c>
      <c r="D24" s="25"/>
      <c r="E24" s="26" t="s">
        <v>744</v>
      </c>
      <c r="F24" s="27"/>
    </row>
    <row r="25" customFormat="false" ht="57.75" hidden="false" customHeight="true" outlineLevel="0" collapsed="false">
      <c r="A25" s="23"/>
      <c r="B25" s="23"/>
      <c r="C25" s="24" t="s">
        <v>745</v>
      </c>
      <c r="D25" s="25"/>
      <c r="E25" s="26" t="s">
        <v>730</v>
      </c>
      <c r="F25" s="27"/>
    </row>
    <row r="26" customFormat="false" ht="57.75" hidden="false" customHeight="true" outlineLevel="0" collapsed="false">
      <c r="A26" s="23"/>
      <c r="B26" s="23"/>
      <c r="C26" s="24" t="s">
        <v>746</v>
      </c>
      <c r="D26" s="25"/>
      <c r="E26" s="26" t="s">
        <v>747</v>
      </c>
      <c r="F26" s="27"/>
    </row>
    <row r="27" customFormat="false" ht="19.5" hidden="false" customHeight="true" outlineLevel="0" collapsed="false">
      <c r="A27" s="22" t="s">
        <v>748</v>
      </c>
      <c r="B27" s="22"/>
      <c r="C27" s="22"/>
      <c r="D27" s="22"/>
      <c r="E27" s="22"/>
      <c r="F27" s="22"/>
    </row>
    <row r="28" customFormat="false" ht="57.75" hidden="false" customHeight="true" outlineLevel="0" collapsed="false">
      <c r="A28" s="23" t="s">
        <v>92</v>
      </c>
      <c r="B28" s="23" t="s">
        <v>749</v>
      </c>
      <c r="C28" s="24" t="s">
        <v>750</v>
      </c>
      <c r="D28" s="25"/>
      <c r="E28" s="26" t="s">
        <v>751</v>
      </c>
      <c r="F28" s="27"/>
    </row>
    <row r="29" customFormat="false" ht="57.75" hidden="false" customHeight="true" outlineLevel="0" collapsed="false">
      <c r="A29" s="23"/>
      <c r="B29" s="23"/>
      <c r="C29" s="24" t="s">
        <v>752</v>
      </c>
      <c r="D29" s="25"/>
      <c r="E29" s="26" t="s">
        <v>753</v>
      </c>
      <c r="F29" s="27"/>
    </row>
    <row r="30" customFormat="false" ht="57.75" hidden="false" customHeight="true" outlineLevel="0" collapsed="false">
      <c r="A30" s="23"/>
      <c r="B30" s="23"/>
      <c r="C30" s="24" t="s">
        <v>754</v>
      </c>
      <c r="D30" s="25"/>
      <c r="E30" s="26" t="s">
        <v>755</v>
      </c>
      <c r="F30" s="27"/>
    </row>
    <row r="31" customFormat="false" ht="57.75" hidden="false" customHeight="true" outlineLevel="0" collapsed="false">
      <c r="A31" s="23"/>
      <c r="B31" s="23"/>
      <c r="C31" s="24" t="s">
        <v>756</v>
      </c>
      <c r="D31" s="25"/>
      <c r="E31" s="26" t="s">
        <v>757</v>
      </c>
      <c r="F31" s="27"/>
    </row>
    <row r="32" customFormat="false" ht="57.75" hidden="false" customHeight="true" outlineLevel="0" collapsed="false">
      <c r="A32" s="23"/>
      <c r="B32" s="23"/>
      <c r="C32" s="24" t="s">
        <v>758</v>
      </c>
      <c r="D32" s="25"/>
      <c r="E32" s="26" t="s">
        <v>759</v>
      </c>
      <c r="F32" s="27"/>
    </row>
    <row r="33" customFormat="false" ht="57.75" hidden="false" customHeight="true" outlineLevel="0" collapsed="false">
      <c r="A33" s="23"/>
      <c r="B33" s="23"/>
      <c r="C33" s="24" t="s">
        <v>760</v>
      </c>
      <c r="D33" s="25"/>
      <c r="E33" s="26" t="s">
        <v>761</v>
      </c>
      <c r="F33" s="27"/>
    </row>
    <row r="34" customFormat="false" ht="57.75" hidden="false" customHeight="true" outlineLevel="0" collapsed="false">
      <c r="A34" s="23"/>
      <c r="B34" s="23"/>
      <c r="C34" s="24" t="s">
        <v>762</v>
      </c>
      <c r="D34" s="25"/>
      <c r="E34" s="26" t="s">
        <v>763</v>
      </c>
      <c r="F34" s="27"/>
    </row>
    <row r="35" customFormat="false" ht="57.75" hidden="false" customHeight="true" outlineLevel="0" collapsed="false">
      <c r="A35" s="23"/>
      <c r="B35" s="23"/>
      <c r="C35" s="24" t="s">
        <v>764</v>
      </c>
      <c r="D35" s="25"/>
      <c r="E35" s="26" t="s">
        <v>765</v>
      </c>
      <c r="F35" s="27"/>
    </row>
    <row r="36" customFormat="false" ht="19.5" hidden="false" customHeight="true" outlineLevel="0" collapsed="false">
      <c r="A36" s="22" t="s">
        <v>766</v>
      </c>
      <c r="B36" s="22"/>
      <c r="C36" s="22"/>
      <c r="D36" s="22"/>
      <c r="E36" s="22"/>
      <c r="F36" s="22"/>
    </row>
    <row r="37" customFormat="false" ht="57.75" hidden="false" customHeight="true" outlineLevel="0" collapsed="false">
      <c r="A37" s="23" t="s">
        <v>94</v>
      </c>
      <c r="B37" s="23" t="s">
        <v>767</v>
      </c>
      <c r="C37" s="24" t="s">
        <v>768</v>
      </c>
      <c r="D37" s="25"/>
      <c r="E37" s="26" t="s">
        <v>769</v>
      </c>
      <c r="F37" s="27"/>
    </row>
    <row r="38" customFormat="false" ht="57.75" hidden="false" customHeight="true" outlineLevel="0" collapsed="false">
      <c r="A38" s="23"/>
      <c r="B38" s="23"/>
      <c r="C38" s="24" t="s">
        <v>770</v>
      </c>
      <c r="D38" s="25"/>
      <c r="E38" s="26" t="s">
        <v>771</v>
      </c>
      <c r="F38" s="27"/>
    </row>
    <row r="39" customFormat="false" ht="57.75" hidden="false" customHeight="true" outlineLevel="0" collapsed="false">
      <c r="A39" s="23"/>
      <c r="B39" s="23"/>
      <c r="C39" s="24" t="s">
        <v>772</v>
      </c>
      <c r="D39" s="25"/>
      <c r="E39" s="26" t="s">
        <v>773</v>
      </c>
      <c r="F39" s="27"/>
    </row>
    <row r="40" customFormat="false" ht="57.75" hidden="false" customHeight="true" outlineLevel="0" collapsed="false">
      <c r="A40" s="23"/>
      <c r="B40" s="23"/>
      <c r="C40" s="24" t="s">
        <v>774</v>
      </c>
      <c r="D40" s="25"/>
      <c r="E40" s="26" t="s">
        <v>775</v>
      </c>
      <c r="F40" s="27"/>
    </row>
    <row r="41" customFormat="false" ht="57.75" hidden="false" customHeight="true" outlineLevel="0" collapsed="false">
      <c r="A41" s="23"/>
      <c r="B41" s="23"/>
      <c r="C41" s="24" t="s">
        <v>776</v>
      </c>
      <c r="D41" s="25"/>
      <c r="E41" s="26" t="s">
        <v>777</v>
      </c>
      <c r="F41" s="27"/>
    </row>
    <row r="42" customFormat="false" ht="57.75" hidden="false" customHeight="true" outlineLevel="0" collapsed="false">
      <c r="A42" s="23"/>
      <c r="B42" s="23"/>
      <c r="C42" s="24" t="s">
        <v>778</v>
      </c>
      <c r="D42" s="25"/>
      <c r="E42" s="26" t="s">
        <v>730</v>
      </c>
      <c r="F42" s="27"/>
    </row>
    <row r="43" customFormat="false" ht="57.75" hidden="false" customHeight="true" outlineLevel="0" collapsed="false">
      <c r="A43" s="23"/>
      <c r="B43" s="23"/>
      <c r="C43" s="24" t="s">
        <v>779</v>
      </c>
      <c r="D43" s="25"/>
      <c r="E43" s="26" t="s">
        <v>780</v>
      </c>
      <c r="F43" s="27"/>
    </row>
    <row r="45" customFormat="false" ht="24" hidden="false" customHeight="true" outlineLevel="0" collapsed="false">
      <c r="A45" s="28" t="s">
        <v>781</v>
      </c>
      <c r="B45" s="28"/>
      <c r="C45" s="28"/>
      <c r="D45" s="28"/>
      <c r="E45" s="28"/>
      <c r="F45" s="28"/>
    </row>
    <row r="46" customFormat="false" ht="23.85" hidden="false" customHeight="false" outlineLevel="0" collapsed="false">
      <c r="A46" s="15" t="s">
        <v>115</v>
      </c>
      <c r="B46" s="15" t="s">
        <v>28</v>
      </c>
      <c r="C46" s="15" t="s">
        <v>358</v>
      </c>
      <c r="D46" s="15" t="s">
        <v>109</v>
      </c>
      <c r="E46" s="15" t="s">
        <v>110</v>
      </c>
      <c r="F46" s="15" t="s">
        <v>111</v>
      </c>
    </row>
    <row r="47" customFormat="false" ht="15" hidden="false" customHeight="false" outlineLevel="0" collapsed="false">
      <c r="A47" s="29" t="s">
        <v>86</v>
      </c>
      <c r="B47" s="30" t="s">
        <v>782</v>
      </c>
      <c r="C47" s="31" t="n">
        <v>5</v>
      </c>
      <c r="D47" s="32" t="n">
        <f aca="false">SUMPRODUCT((D6:D10&lt;&gt;"TDD")*IFERROR(D6:D10,0))</f>
        <v>0</v>
      </c>
      <c r="E47" s="32" t="n">
        <f aca="false">COUNTIF(D6:D10,"&lt;&gt;TDD")*10</f>
        <v>50</v>
      </c>
      <c r="F47" s="33" t="n">
        <f aca="false">IFERROR(D47/E47,0)</f>
        <v>0</v>
      </c>
    </row>
    <row r="48" customFormat="false" ht="15" hidden="false" customHeight="false" outlineLevel="0" collapsed="false">
      <c r="A48" s="29" t="s">
        <v>88</v>
      </c>
      <c r="B48" s="30" t="s">
        <v>783</v>
      </c>
      <c r="C48" s="31" t="n">
        <v>7</v>
      </c>
      <c r="D48" s="32" t="n">
        <f aca="false">SUMPRODUCT((D12:D18&lt;&gt;"TDD")*IFERROR(D12:D18,0))</f>
        <v>0</v>
      </c>
      <c r="E48" s="32" t="n">
        <f aca="false">COUNTIF(D12:D18,"&lt;&gt;TDD")*10</f>
        <v>70</v>
      </c>
      <c r="F48" s="33" t="n">
        <f aca="false">IFERROR(D48/E48,0)</f>
        <v>0</v>
      </c>
    </row>
    <row r="49" customFormat="false" ht="15" hidden="false" customHeight="false" outlineLevel="0" collapsed="false">
      <c r="A49" s="29" t="s">
        <v>90</v>
      </c>
      <c r="B49" s="30" t="s">
        <v>784</v>
      </c>
      <c r="C49" s="31" t="n">
        <v>7</v>
      </c>
      <c r="D49" s="32" t="n">
        <f aca="false">SUMPRODUCT((D20:D26&lt;&gt;"TDD")*IFERROR(D20:D26,0))</f>
        <v>0</v>
      </c>
      <c r="E49" s="32" t="n">
        <f aca="false">COUNTIF(D20:D26,"&lt;&gt;TDD")*10</f>
        <v>70</v>
      </c>
      <c r="F49" s="33" t="n">
        <f aca="false">IFERROR(D49/E49,0)</f>
        <v>0</v>
      </c>
    </row>
    <row r="50" customFormat="false" ht="15" hidden="false" customHeight="false" outlineLevel="0" collapsed="false">
      <c r="A50" s="29" t="s">
        <v>92</v>
      </c>
      <c r="B50" s="30" t="s">
        <v>785</v>
      </c>
      <c r="C50" s="31" t="n">
        <v>8</v>
      </c>
      <c r="D50" s="32" t="n">
        <f aca="false">SUMPRODUCT((D28:D35&lt;&gt;"TDD")*IFERROR(D28:D35,0))</f>
        <v>0</v>
      </c>
      <c r="E50" s="32" t="n">
        <f aca="false">COUNTIF(D28:D35,"&lt;&gt;TDD")*10</f>
        <v>80</v>
      </c>
      <c r="F50" s="33" t="n">
        <f aca="false">IFERROR(D50/E50,0)</f>
        <v>0</v>
      </c>
    </row>
    <row r="51" customFormat="false" ht="15" hidden="false" customHeight="false" outlineLevel="0" collapsed="false">
      <c r="A51" s="29" t="s">
        <v>94</v>
      </c>
      <c r="B51" s="30" t="s">
        <v>786</v>
      </c>
      <c r="C51" s="31" t="n">
        <v>7</v>
      </c>
      <c r="D51" s="32" t="n">
        <f aca="false">SUMPRODUCT((D37:D43&lt;&gt;"TDD")*IFERROR(D37:D43,0))</f>
        <v>0</v>
      </c>
      <c r="E51" s="32" t="n">
        <f aca="false">COUNTIF(D37:D43,"&lt;&gt;TDD")*10</f>
        <v>70</v>
      </c>
      <c r="F51" s="33" t="n">
        <f aca="false">IFERROR(D51/E51,0)</f>
        <v>0</v>
      </c>
    </row>
    <row r="52" customFormat="false" ht="15" hidden="false" customHeight="false" outlineLevel="0" collapsed="false">
      <c r="A52" s="34" t="s">
        <v>787</v>
      </c>
      <c r="B52" s="34"/>
      <c r="C52" s="35" t="n">
        <f aca="false">SUM(C47:C51)</f>
        <v>34</v>
      </c>
      <c r="D52" s="36" t="n">
        <f aca="false">SUM(D47:D51)</f>
        <v>0</v>
      </c>
      <c r="E52" s="36" t="n">
        <f aca="false">SUM(E47:E51)</f>
        <v>340</v>
      </c>
      <c r="F52" s="37" t="n">
        <f aca="false">IFERROR(D52/E52,0)</f>
        <v>0</v>
      </c>
    </row>
  </sheetData>
  <mergeCells count="9">
    <mergeCell ref="A1:F1"/>
    <mergeCell ref="A2:F2"/>
    <mergeCell ref="A5:F5"/>
    <mergeCell ref="A11:F11"/>
    <mergeCell ref="A19:F19"/>
    <mergeCell ref="A27:F27"/>
    <mergeCell ref="A36:F36"/>
    <mergeCell ref="A45:F45"/>
    <mergeCell ref="A52:B52"/>
  </mergeCells>
  <dataValidations count="1">
    <dataValidation allowBlank="true" error="Nilai harus 0, 5, 10, atau TDD (Tidak Dapat Dinilai)." errorStyle="stop" errorTitle="Error" operator="between" showDropDown="false" showErrorMessage="true" showInputMessage="false" sqref="D6:D10 D12:D18 D20:D26 D28:D35 D37:D43"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48"/>
    <col collapsed="false" customWidth="true" hidden="false" outlineLevel="0" max="4" min="4" style="0" width="10"/>
    <col collapsed="false" customWidth="true" hidden="false" outlineLevel="0" max="5" min="5" style="0" width="32"/>
    <col collapsed="false" customWidth="true" hidden="false" outlineLevel="0" max="6" min="6" style="0" width="30"/>
  </cols>
  <sheetData>
    <row r="1" customFormat="false" ht="24" hidden="false" customHeight="true" outlineLevel="0" collapsed="false">
      <c r="A1" s="19" t="s">
        <v>788</v>
      </c>
      <c r="B1" s="19"/>
      <c r="C1" s="19"/>
      <c r="D1" s="19"/>
      <c r="E1" s="19"/>
      <c r="F1" s="19"/>
    </row>
    <row r="2" customFormat="false" ht="30" hidden="false" customHeight="true" outlineLevel="0" collapsed="false">
      <c r="A2" s="20" t="s">
        <v>114</v>
      </c>
      <c r="B2" s="20"/>
      <c r="C2" s="20"/>
      <c r="D2" s="20"/>
      <c r="E2" s="20"/>
      <c r="F2" s="20"/>
    </row>
    <row r="4" customFormat="false" ht="27.75" hidden="false" customHeight="true" outlineLevel="0" collapsed="false">
      <c r="A4" s="21" t="s">
        <v>115</v>
      </c>
      <c r="B4" s="21" t="s">
        <v>116</v>
      </c>
      <c r="C4" s="21" t="s">
        <v>117</v>
      </c>
      <c r="D4" s="21" t="s">
        <v>118</v>
      </c>
      <c r="E4" s="21" t="s">
        <v>119</v>
      </c>
      <c r="F4" s="21" t="s">
        <v>31</v>
      </c>
    </row>
    <row r="5" customFormat="false" ht="19.5" hidden="false" customHeight="true" outlineLevel="0" collapsed="false">
      <c r="A5" s="22" t="s">
        <v>789</v>
      </c>
      <c r="B5" s="22"/>
      <c r="C5" s="22"/>
      <c r="D5" s="22"/>
      <c r="E5" s="22"/>
      <c r="F5" s="22"/>
    </row>
    <row r="6" customFormat="false" ht="57.75" hidden="false" customHeight="true" outlineLevel="0" collapsed="false">
      <c r="A6" s="23" t="s">
        <v>97</v>
      </c>
      <c r="B6" s="23" t="s">
        <v>790</v>
      </c>
      <c r="C6" s="24" t="s">
        <v>791</v>
      </c>
      <c r="D6" s="25"/>
      <c r="E6" s="26" t="s">
        <v>792</v>
      </c>
      <c r="F6" s="27"/>
    </row>
    <row r="7" customFormat="false" ht="57.75" hidden="false" customHeight="true" outlineLevel="0" collapsed="false">
      <c r="A7" s="23"/>
      <c r="B7" s="23"/>
      <c r="C7" s="24" t="s">
        <v>793</v>
      </c>
      <c r="D7" s="25"/>
      <c r="E7" s="26" t="s">
        <v>794</v>
      </c>
      <c r="F7" s="27"/>
    </row>
    <row r="8" customFormat="false" ht="57.75" hidden="false" customHeight="true" outlineLevel="0" collapsed="false">
      <c r="A8" s="23"/>
      <c r="B8" s="23"/>
      <c r="C8" s="24" t="s">
        <v>795</v>
      </c>
      <c r="D8" s="25"/>
      <c r="E8" s="26" t="s">
        <v>796</v>
      </c>
      <c r="F8" s="27"/>
    </row>
    <row r="9" customFormat="false" ht="57.75" hidden="false" customHeight="true" outlineLevel="0" collapsed="false">
      <c r="A9" s="23"/>
      <c r="B9" s="23"/>
      <c r="C9" s="24" t="s">
        <v>797</v>
      </c>
      <c r="D9" s="25"/>
      <c r="E9" s="26" t="s">
        <v>798</v>
      </c>
      <c r="F9" s="27"/>
    </row>
    <row r="10" customFormat="false" ht="57.75" hidden="false" customHeight="true" outlineLevel="0" collapsed="false">
      <c r="A10" s="23" t="s">
        <v>97</v>
      </c>
      <c r="B10" s="23" t="s">
        <v>799</v>
      </c>
      <c r="C10" s="24" t="s">
        <v>800</v>
      </c>
      <c r="D10" s="25"/>
      <c r="E10" s="26" t="s">
        <v>801</v>
      </c>
      <c r="F10" s="27"/>
    </row>
    <row r="11" customFormat="false" ht="57.75" hidden="false" customHeight="true" outlineLevel="0" collapsed="false">
      <c r="A11" s="23"/>
      <c r="B11" s="23"/>
      <c r="C11" s="24" t="s">
        <v>802</v>
      </c>
      <c r="D11" s="25"/>
      <c r="E11" s="26" t="s">
        <v>803</v>
      </c>
      <c r="F11" s="27"/>
    </row>
    <row r="12" customFormat="false" ht="57.75" hidden="false" customHeight="true" outlineLevel="0" collapsed="false">
      <c r="A12" s="23"/>
      <c r="B12" s="23"/>
      <c r="C12" s="24" t="s">
        <v>804</v>
      </c>
      <c r="D12" s="25"/>
      <c r="E12" s="26" t="s">
        <v>805</v>
      </c>
      <c r="F12" s="27"/>
    </row>
    <row r="13" customFormat="false" ht="57.75" hidden="false" customHeight="true" outlineLevel="0" collapsed="false">
      <c r="A13" s="23" t="s">
        <v>97</v>
      </c>
      <c r="B13" s="23" t="s">
        <v>806</v>
      </c>
      <c r="C13" s="24" t="s">
        <v>807</v>
      </c>
      <c r="D13" s="25"/>
      <c r="E13" s="26" t="s">
        <v>808</v>
      </c>
      <c r="F13" s="27"/>
    </row>
    <row r="14" customFormat="false" ht="57.75" hidden="false" customHeight="true" outlineLevel="0" collapsed="false">
      <c r="A14" s="23"/>
      <c r="B14" s="23"/>
      <c r="C14" s="24" t="s">
        <v>809</v>
      </c>
      <c r="D14" s="25"/>
      <c r="E14" s="26" t="s">
        <v>810</v>
      </c>
      <c r="F14" s="27"/>
    </row>
    <row r="15" customFormat="false" ht="57.75" hidden="false" customHeight="true" outlineLevel="0" collapsed="false">
      <c r="A15" s="23"/>
      <c r="B15" s="23"/>
      <c r="C15" s="24" t="s">
        <v>811</v>
      </c>
      <c r="D15" s="25"/>
      <c r="E15" s="26" t="s">
        <v>812</v>
      </c>
      <c r="F15" s="27"/>
    </row>
    <row r="16" customFormat="false" ht="57.75" hidden="false" customHeight="true" outlineLevel="0" collapsed="false">
      <c r="A16" s="23"/>
      <c r="B16" s="23"/>
      <c r="C16" s="24" t="s">
        <v>813</v>
      </c>
      <c r="D16" s="25"/>
      <c r="E16" s="26" t="s">
        <v>814</v>
      </c>
      <c r="F16" s="27"/>
    </row>
    <row r="17" customFormat="false" ht="57.75" hidden="false" customHeight="true" outlineLevel="0" collapsed="false">
      <c r="A17" s="23"/>
      <c r="B17" s="23"/>
      <c r="C17" s="24" t="s">
        <v>815</v>
      </c>
      <c r="D17" s="25"/>
      <c r="E17" s="26" t="s">
        <v>816</v>
      </c>
      <c r="F17" s="27"/>
    </row>
    <row r="18" customFormat="false" ht="57.75" hidden="false" customHeight="true" outlineLevel="0" collapsed="false">
      <c r="A18" s="23" t="s">
        <v>97</v>
      </c>
      <c r="B18" s="23" t="s">
        <v>817</v>
      </c>
      <c r="C18" s="24" t="s">
        <v>818</v>
      </c>
      <c r="D18" s="25"/>
      <c r="E18" s="26" t="s">
        <v>819</v>
      </c>
      <c r="F18" s="27"/>
    </row>
    <row r="19" customFormat="false" ht="57.75" hidden="false" customHeight="true" outlineLevel="0" collapsed="false">
      <c r="A19" s="23"/>
      <c r="B19" s="23"/>
      <c r="C19" s="24" t="s">
        <v>820</v>
      </c>
      <c r="D19" s="25"/>
      <c r="E19" s="26" t="s">
        <v>821</v>
      </c>
      <c r="F19" s="27"/>
    </row>
    <row r="20" customFormat="false" ht="57.75" hidden="false" customHeight="true" outlineLevel="0" collapsed="false">
      <c r="A20" s="23"/>
      <c r="B20" s="23"/>
      <c r="C20" s="24" t="s">
        <v>822</v>
      </c>
      <c r="D20" s="25"/>
      <c r="E20" s="26" t="s">
        <v>823</v>
      </c>
      <c r="F20" s="27"/>
    </row>
    <row r="21" customFormat="false" ht="57.75" hidden="false" customHeight="true" outlineLevel="0" collapsed="false">
      <c r="A21" s="23"/>
      <c r="B21" s="23"/>
      <c r="C21" s="24" t="s">
        <v>824</v>
      </c>
      <c r="D21" s="25"/>
      <c r="E21" s="26" t="s">
        <v>825</v>
      </c>
      <c r="F21" s="27"/>
    </row>
    <row r="22" customFormat="false" ht="19.5" hidden="false" customHeight="true" outlineLevel="0" collapsed="false">
      <c r="A22" s="22" t="s">
        <v>826</v>
      </c>
      <c r="B22" s="22"/>
      <c r="C22" s="22"/>
      <c r="D22" s="22"/>
      <c r="E22" s="22"/>
      <c r="F22" s="22"/>
    </row>
    <row r="23" customFormat="false" ht="57.75" hidden="false" customHeight="true" outlineLevel="0" collapsed="false">
      <c r="A23" s="23" t="s">
        <v>99</v>
      </c>
      <c r="B23" s="23" t="s">
        <v>827</v>
      </c>
      <c r="C23" s="24" t="s">
        <v>828</v>
      </c>
      <c r="D23" s="25"/>
      <c r="E23" s="26" t="s">
        <v>829</v>
      </c>
      <c r="F23" s="27"/>
    </row>
    <row r="24" customFormat="false" ht="57.75" hidden="false" customHeight="true" outlineLevel="0" collapsed="false">
      <c r="A24" s="23"/>
      <c r="B24" s="23"/>
      <c r="C24" s="24" t="s">
        <v>830</v>
      </c>
      <c r="D24" s="25"/>
      <c r="E24" s="26" t="s">
        <v>831</v>
      </c>
      <c r="F24" s="27"/>
    </row>
    <row r="25" customFormat="false" ht="57.75" hidden="false" customHeight="true" outlineLevel="0" collapsed="false">
      <c r="A25" s="23"/>
      <c r="B25" s="23"/>
      <c r="C25" s="24" t="s">
        <v>832</v>
      </c>
      <c r="D25" s="25"/>
      <c r="E25" s="26" t="s">
        <v>833</v>
      </c>
      <c r="F25" s="27"/>
    </row>
    <row r="26" customFormat="false" ht="57.75" hidden="false" customHeight="true" outlineLevel="0" collapsed="false">
      <c r="A26" s="23"/>
      <c r="B26" s="23"/>
      <c r="C26" s="24" t="s">
        <v>834</v>
      </c>
      <c r="D26" s="25"/>
      <c r="E26" s="26" t="s">
        <v>835</v>
      </c>
      <c r="F26" s="27"/>
    </row>
    <row r="27" customFormat="false" ht="57.75" hidden="false" customHeight="true" outlineLevel="0" collapsed="false">
      <c r="A27" s="23" t="s">
        <v>99</v>
      </c>
      <c r="B27" s="23" t="s">
        <v>836</v>
      </c>
      <c r="C27" s="24" t="s">
        <v>837</v>
      </c>
      <c r="D27" s="25"/>
      <c r="E27" s="26" t="s">
        <v>838</v>
      </c>
      <c r="F27" s="27"/>
    </row>
    <row r="28" customFormat="false" ht="57.75" hidden="false" customHeight="true" outlineLevel="0" collapsed="false">
      <c r="A28" s="23"/>
      <c r="B28" s="23"/>
      <c r="C28" s="24" t="s">
        <v>839</v>
      </c>
      <c r="D28" s="25"/>
      <c r="E28" s="26" t="s">
        <v>840</v>
      </c>
      <c r="F28" s="27"/>
    </row>
    <row r="29" customFormat="false" ht="57.75" hidden="false" customHeight="true" outlineLevel="0" collapsed="false">
      <c r="A29" s="23"/>
      <c r="B29" s="23"/>
      <c r="C29" s="24" t="s">
        <v>841</v>
      </c>
      <c r="D29" s="25"/>
      <c r="E29" s="26" t="s">
        <v>842</v>
      </c>
      <c r="F29" s="27"/>
    </row>
    <row r="30" customFormat="false" ht="57.75" hidden="false" customHeight="true" outlineLevel="0" collapsed="false">
      <c r="A30" s="23"/>
      <c r="B30" s="23"/>
      <c r="C30" s="24" t="s">
        <v>843</v>
      </c>
      <c r="D30" s="25"/>
      <c r="E30" s="26" t="s">
        <v>844</v>
      </c>
      <c r="F30" s="27"/>
    </row>
    <row r="31" customFormat="false" ht="19.5" hidden="false" customHeight="true" outlineLevel="0" collapsed="false">
      <c r="A31" s="22" t="s">
        <v>845</v>
      </c>
      <c r="B31" s="22"/>
      <c r="C31" s="22"/>
      <c r="D31" s="22"/>
      <c r="E31" s="22"/>
      <c r="F31" s="22"/>
    </row>
    <row r="32" customFormat="false" ht="57.75" hidden="false" customHeight="true" outlineLevel="0" collapsed="false">
      <c r="A32" s="23" t="s">
        <v>101</v>
      </c>
      <c r="B32" s="23" t="s">
        <v>846</v>
      </c>
      <c r="C32" s="24" t="s">
        <v>847</v>
      </c>
      <c r="D32" s="25"/>
      <c r="E32" s="26" t="s">
        <v>848</v>
      </c>
      <c r="F32" s="27"/>
    </row>
    <row r="33" customFormat="false" ht="57.75" hidden="false" customHeight="true" outlineLevel="0" collapsed="false">
      <c r="A33" s="23"/>
      <c r="B33" s="23"/>
      <c r="C33" s="24" t="s">
        <v>849</v>
      </c>
      <c r="D33" s="25"/>
      <c r="E33" s="26" t="s">
        <v>850</v>
      </c>
      <c r="F33" s="27"/>
    </row>
    <row r="34" customFormat="false" ht="57.75" hidden="false" customHeight="true" outlineLevel="0" collapsed="false">
      <c r="A34" s="23" t="s">
        <v>101</v>
      </c>
      <c r="B34" s="23" t="s">
        <v>851</v>
      </c>
      <c r="C34" s="24" t="s">
        <v>852</v>
      </c>
      <c r="D34" s="25"/>
      <c r="E34" s="26" t="s">
        <v>853</v>
      </c>
      <c r="F34" s="27"/>
    </row>
    <row r="35" customFormat="false" ht="57.75" hidden="false" customHeight="true" outlineLevel="0" collapsed="false">
      <c r="A35" s="23"/>
      <c r="B35" s="23"/>
      <c r="C35" s="24" t="s">
        <v>854</v>
      </c>
      <c r="D35" s="25"/>
      <c r="E35" s="26" t="s">
        <v>855</v>
      </c>
      <c r="F35" s="27"/>
    </row>
    <row r="36" customFormat="false" ht="57.75" hidden="false" customHeight="true" outlineLevel="0" collapsed="false">
      <c r="A36" s="23"/>
      <c r="B36" s="23"/>
      <c r="C36" s="24" t="s">
        <v>856</v>
      </c>
      <c r="D36" s="25"/>
      <c r="E36" s="26" t="s">
        <v>857</v>
      </c>
      <c r="F36" s="27"/>
    </row>
    <row r="37" customFormat="false" ht="57.75" hidden="false" customHeight="true" outlineLevel="0" collapsed="false">
      <c r="A37" s="23" t="s">
        <v>101</v>
      </c>
      <c r="B37" s="23" t="s">
        <v>858</v>
      </c>
      <c r="C37" s="24" t="s">
        <v>859</v>
      </c>
      <c r="D37" s="25"/>
      <c r="E37" s="26" t="s">
        <v>860</v>
      </c>
      <c r="F37" s="27"/>
    </row>
    <row r="38" customFormat="false" ht="57.75" hidden="false" customHeight="true" outlineLevel="0" collapsed="false">
      <c r="A38" s="23"/>
      <c r="B38" s="23"/>
      <c r="C38" s="24" t="s">
        <v>861</v>
      </c>
      <c r="D38" s="25"/>
      <c r="E38" s="26" t="s">
        <v>862</v>
      </c>
      <c r="F38" s="27"/>
    </row>
    <row r="39" customFormat="false" ht="57.75" hidden="false" customHeight="true" outlineLevel="0" collapsed="false">
      <c r="A39" s="23" t="s">
        <v>101</v>
      </c>
      <c r="B39" s="23" t="s">
        <v>863</v>
      </c>
      <c r="C39" s="24" t="s">
        <v>864</v>
      </c>
      <c r="D39" s="25"/>
      <c r="E39" s="26" t="s">
        <v>865</v>
      </c>
      <c r="F39" s="27"/>
    </row>
    <row r="40" customFormat="false" ht="57.75" hidden="false" customHeight="true" outlineLevel="0" collapsed="false">
      <c r="A40" s="23"/>
      <c r="B40" s="23"/>
      <c r="C40" s="24" t="s">
        <v>866</v>
      </c>
      <c r="D40" s="25"/>
      <c r="E40" s="26" t="s">
        <v>867</v>
      </c>
      <c r="F40" s="27"/>
    </row>
    <row r="41" customFormat="false" ht="57.75" hidden="false" customHeight="true" outlineLevel="0" collapsed="false">
      <c r="A41" s="23"/>
      <c r="B41" s="23"/>
      <c r="C41" s="24" t="s">
        <v>868</v>
      </c>
      <c r="D41" s="25"/>
      <c r="E41" s="26" t="s">
        <v>869</v>
      </c>
      <c r="F41" s="27"/>
    </row>
    <row r="42" customFormat="false" ht="57.75" hidden="false" customHeight="true" outlineLevel="0" collapsed="false">
      <c r="A42" s="23" t="s">
        <v>101</v>
      </c>
      <c r="B42" s="23" t="s">
        <v>870</v>
      </c>
      <c r="C42" s="24" t="s">
        <v>871</v>
      </c>
      <c r="D42" s="25"/>
      <c r="E42" s="26" t="s">
        <v>872</v>
      </c>
      <c r="F42" s="27"/>
    </row>
    <row r="43" customFormat="false" ht="57.75" hidden="false" customHeight="true" outlineLevel="0" collapsed="false">
      <c r="A43" s="23"/>
      <c r="B43" s="23"/>
      <c r="C43" s="24" t="s">
        <v>873</v>
      </c>
      <c r="D43" s="25"/>
      <c r="E43" s="26" t="s">
        <v>874</v>
      </c>
      <c r="F43" s="27"/>
    </row>
    <row r="44" customFormat="false" ht="57.75" hidden="false" customHeight="true" outlineLevel="0" collapsed="false">
      <c r="A44" s="23" t="s">
        <v>101</v>
      </c>
      <c r="B44" s="23" t="s">
        <v>875</v>
      </c>
      <c r="C44" s="24" t="s">
        <v>876</v>
      </c>
      <c r="D44" s="25"/>
      <c r="E44" s="26" t="s">
        <v>877</v>
      </c>
      <c r="F44" s="27"/>
    </row>
    <row r="45" customFormat="false" ht="57.75" hidden="false" customHeight="true" outlineLevel="0" collapsed="false">
      <c r="A45" s="23"/>
      <c r="B45" s="23"/>
      <c r="C45" s="24" t="s">
        <v>878</v>
      </c>
      <c r="D45" s="25"/>
      <c r="E45" s="26" t="s">
        <v>879</v>
      </c>
      <c r="F45" s="27"/>
    </row>
    <row r="46" customFormat="false" ht="19.5" hidden="false" customHeight="true" outlineLevel="0" collapsed="false">
      <c r="A46" s="22" t="s">
        <v>880</v>
      </c>
      <c r="B46" s="22"/>
      <c r="C46" s="22"/>
      <c r="D46" s="22"/>
      <c r="E46" s="22"/>
      <c r="F46" s="22"/>
    </row>
    <row r="47" customFormat="false" ht="57.75" hidden="false" customHeight="true" outlineLevel="0" collapsed="false">
      <c r="A47" s="23" t="s">
        <v>103</v>
      </c>
      <c r="B47" s="23" t="s">
        <v>881</v>
      </c>
      <c r="C47" s="24" t="s">
        <v>882</v>
      </c>
      <c r="D47" s="25"/>
      <c r="E47" s="26" t="s">
        <v>883</v>
      </c>
      <c r="F47" s="27"/>
    </row>
    <row r="48" customFormat="false" ht="57.75" hidden="false" customHeight="true" outlineLevel="0" collapsed="false">
      <c r="A48" s="23"/>
      <c r="B48" s="23"/>
      <c r="C48" s="24" t="s">
        <v>884</v>
      </c>
      <c r="D48" s="25"/>
      <c r="E48" s="26" t="s">
        <v>885</v>
      </c>
      <c r="F48" s="27"/>
    </row>
    <row r="49" customFormat="false" ht="57.75" hidden="false" customHeight="true" outlineLevel="0" collapsed="false">
      <c r="A49" s="23" t="s">
        <v>103</v>
      </c>
      <c r="B49" s="23" t="s">
        <v>886</v>
      </c>
      <c r="C49" s="24" t="s">
        <v>887</v>
      </c>
      <c r="D49" s="25"/>
      <c r="E49" s="26" t="s">
        <v>888</v>
      </c>
      <c r="F49" s="27"/>
    </row>
    <row r="50" customFormat="false" ht="57.75" hidden="false" customHeight="true" outlineLevel="0" collapsed="false">
      <c r="A50" s="23"/>
      <c r="B50" s="23"/>
      <c r="C50" s="24" t="s">
        <v>889</v>
      </c>
      <c r="D50" s="25"/>
      <c r="E50" s="26" t="s">
        <v>890</v>
      </c>
      <c r="F50" s="27"/>
    </row>
    <row r="51" customFormat="false" ht="57.75" hidden="false" customHeight="true" outlineLevel="0" collapsed="false">
      <c r="A51" s="23"/>
      <c r="B51" s="23"/>
      <c r="C51" s="24" t="s">
        <v>891</v>
      </c>
      <c r="D51" s="25"/>
      <c r="E51" s="26" t="s">
        <v>892</v>
      </c>
      <c r="F51" s="27"/>
    </row>
    <row r="52" customFormat="false" ht="19.5" hidden="false" customHeight="true" outlineLevel="0" collapsed="false">
      <c r="A52" s="22" t="s">
        <v>893</v>
      </c>
      <c r="B52" s="22"/>
      <c r="C52" s="22"/>
      <c r="D52" s="22"/>
      <c r="E52" s="22"/>
      <c r="F52" s="22"/>
    </row>
    <row r="53" customFormat="false" ht="57.75" hidden="false" customHeight="true" outlineLevel="0" collapsed="false">
      <c r="A53" s="23" t="s">
        <v>105</v>
      </c>
      <c r="B53" s="23" t="s">
        <v>894</v>
      </c>
      <c r="C53" s="24" t="s">
        <v>895</v>
      </c>
      <c r="D53" s="25"/>
      <c r="E53" s="26" t="s">
        <v>896</v>
      </c>
      <c r="F53" s="27"/>
    </row>
    <row r="54" customFormat="false" ht="57.75" hidden="false" customHeight="true" outlineLevel="0" collapsed="false">
      <c r="A54" s="23"/>
      <c r="B54" s="23"/>
      <c r="C54" s="24" t="s">
        <v>897</v>
      </c>
      <c r="D54" s="25"/>
      <c r="E54" s="26" t="s">
        <v>898</v>
      </c>
      <c r="F54" s="27"/>
    </row>
    <row r="55" customFormat="false" ht="57.75" hidden="false" customHeight="true" outlineLevel="0" collapsed="false">
      <c r="A55" s="23" t="s">
        <v>105</v>
      </c>
      <c r="B55" s="23" t="s">
        <v>899</v>
      </c>
      <c r="C55" s="24" t="s">
        <v>900</v>
      </c>
      <c r="D55" s="25"/>
      <c r="E55" s="26" t="s">
        <v>901</v>
      </c>
      <c r="F55" s="27"/>
    </row>
    <row r="56" customFormat="false" ht="57.75" hidden="false" customHeight="true" outlineLevel="0" collapsed="false">
      <c r="A56" s="23"/>
      <c r="B56" s="23"/>
      <c r="C56" s="24" t="s">
        <v>902</v>
      </c>
      <c r="D56" s="25"/>
      <c r="E56" s="26" t="s">
        <v>903</v>
      </c>
      <c r="F56" s="27"/>
    </row>
    <row r="57" customFormat="false" ht="57.75" hidden="false" customHeight="true" outlineLevel="0" collapsed="false">
      <c r="A57" s="23" t="s">
        <v>105</v>
      </c>
      <c r="B57" s="23" t="s">
        <v>904</v>
      </c>
      <c r="C57" s="24" t="s">
        <v>905</v>
      </c>
      <c r="D57" s="25"/>
      <c r="E57" s="26" t="s">
        <v>906</v>
      </c>
      <c r="F57" s="27"/>
    </row>
    <row r="58" customFormat="false" ht="57.75" hidden="false" customHeight="true" outlineLevel="0" collapsed="false">
      <c r="A58" s="23"/>
      <c r="B58" s="23"/>
      <c r="C58" s="24" t="s">
        <v>907</v>
      </c>
      <c r="D58" s="25"/>
      <c r="E58" s="26" t="s">
        <v>908</v>
      </c>
      <c r="F58" s="27"/>
    </row>
    <row r="59" customFormat="false" ht="57.75" hidden="false" customHeight="true" outlineLevel="0" collapsed="false">
      <c r="A59" s="23" t="s">
        <v>105</v>
      </c>
      <c r="B59" s="23" t="s">
        <v>909</v>
      </c>
      <c r="C59" s="24" t="s">
        <v>910</v>
      </c>
      <c r="D59" s="25"/>
      <c r="E59" s="26" t="s">
        <v>911</v>
      </c>
      <c r="F59" s="27"/>
    </row>
    <row r="60" customFormat="false" ht="57.75" hidden="false" customHeight="true" outlineLevel="0" collapsed="false">
      <c r="A60" s="23"/>
      <c r="B60" s="23"/>
      <c r="C60" s="24" t="s">
        <v>912</v>
      </c>
      <c r="D60" s="25"/>
      <c r="E60" s="26" t="s">
        <v>913</v>
      </c>
      <c r="F60" s="27"/>
    </row>
    <row r="61" customFormat="false" ht="57.75" hidden="false" customHeight="true" outlineLevel="0" collapsed="false">
      <c r="A61" s="23"/>
      <c r="B61" s="23"/>
      <c r="C61" s="24" t="s">
        <v>914</v>
      </c>
      <c r="D61" s="25"/>
      <c r="E61" s="26" t="s">
        <v>915</v>
      </c>
      <c r="F61" s="27"/>
    </row>
    <row r="62" customFormat="false" ht="57.75" hidden="false" customHeight="true" outlineLevel="0" collapsed="false">
      <c r="A62" s="23" t="s">
        <v>105</v>
      </c>
      <c r="B62" s="23" t="s">
        <v>916</v>
      </c>
      <c r="C62" s="24" t="s">
        <v>917</v>
      </c>
      <c r="D62" s="25"/>
      <c r="E62" s="26" t="s">
        <v>918</v>
      </c>
      <c r="F62" s="27"/>
    </row>
    <row r="63" customFormat="false" ht="57.75" hidden="false" customHeight="true" outlineLevel="0" collapsed="false">
      <c r="A63" s="23"/>
      <c r="B63" s="23"/>
      <c r="C63" s="24" t="s">
        <v>919</v>
      </c>
      <c r="D63" s="25"/>
      <c r="E63" s="26" t="s">
        <v>920</v>
      </c>
      <c r="F63" s="27"/>
    </row>
    <row r="64" customFormat="false" ht="57.75" hidden="false" customHeight="true" outlineLevel="0" collapsed="false">
      <c r="A64" s="23" t="s">
        <v>105</v>
      </c>
      <c r="B64" s="23" t="s">
        <v>921</v>
      </c>
      <c r="C64" s="24" t="s">
        <v>922</v>
      </c>
      <c r="D64" s="25"/>
      <c r="E64" s="26" t="s">
        <v>923</v>
      </c>
      <c r="F64" s="27"/>
    </row>
    <row r="65" customFormat="false" ht="57.75" hidden="false" customHeight="true" outlineLevel="0" collapsed="false">
      <c r="A65" s="23"/>
      <c r="B65" s="23"/>
      <c r="C65" s="24" t="s">
        <v>924</v>
      </c>
      <c r="D65" s="25"/>
      <c r="E65" s="26" t="s">
        <v>925</v>
      </c>
      <c r="F65" s="27"/>
    </row>
    <row r="66" customFormat="false" ht="57.75" hidden="false" customHeight="true" outlineLevel="0" collapsed="false">
      <c r="A66" s="23" t="s">
        <v>105</v>
      </c>
      <c r="B66" s="23" t="s">
        <v>573</v>
      </c>
      <c r="C66" s="24" t="s">
        <v>926</v>
      </c>
      <c r="D66" s="25"/>
      <c r="E66" s="26"/>
      <c r="F66" s="27"/>
    </row>
    <row r="68" customFormat="false" ht="24" hidden="false" customHeight="true" outlineLevel="0" collapsed="false">
      <c r="A68" s="28" t="s">
        <v>927</v>
      </c>
      <c r="B68" s="28"/>
      <c r="C68" s="28"/>
      <c r="D68" s="28"/>
      <c r="E68" s="28"/>
      <c r="F68" s="28"/>
    </row>
    <row r="69" customFormat="false" ht="23.85" hidden="false" customHeight="false" outlineLevel="0" collapsed="false">
      <c r="A69" s="15" t="s">
        <v>115</v>
      </c>
      <c r="B69" s="15" t="s">
        <v>28</v>
      </c>
      <c r="C69" s="15" t="s">
        <v>358</v>
      </c>
      <c r="D69" s="15" t="s">
        <v>109</v>
      </c>
      <c r="E69" s="15" t="s">
        <v>110</v>
      </c>
      <c r="F69" s="15" t="s">
        <v>111</v>
      </c>
    </row>
    <row r="70" customFormat="false" ht="15" hidden="false" customHeight="false" outlineLevel="0" collapsed="false">
      <c r="A70" s="29" t="s">
        <v>97</v>
      </c>
      <c r="B70" s="30" t="s">
        <v>928</v>
      </c>
      <c r="C70" s="31" t="n">
        <v>16</v>
      </c>
      <c r="D70" s="32" t="n">
        <f aca="false">SUMPRODUCT((D6:D21&lt;&gt;"TDD")*IFERROR(D6:D21,0))</f>
        <v>0</v>
      </c>
      <c r="E70" s="32" t="n">
        <f aca="false">COUNTIF(D6:D21,"&lt;&gt;TDD")*10</f>
        <v>160</v>
      </c>
      <c r="F70" s="33" t="n">
        <f aca="false">IFERROR(D70/E70,0)</f>
        <v>0</v>
      </c>
    </row>
    <row r="71" customFormat="false" ht="15" hidden="false" customHeight="false" outlineLevel="0" collapsed="false">
      <c r="A71" s="29" t="s">
        <v>99</v>
      </c>
      <c r="B71" s="30" t="s">
        <v>929</v>
      </c>
      <c r="C71" s="31" t="n">
        <v>8</v>
      </c>
      <c r="D71" s="32" t="n">
        <f aca="false">SUMPRODUCT((D23:D30&lt;&gt;"TDD")*IFERROR(D23:D30,0))</f>
        <v>0</v>
      </c>
      <c r="E71" s="32" t="n">
        <f aca="false">COUNTIF(D23:D30,"&lt;&gt;TDD")*10</f>
        <v>80</v>
      </c>
      <c r="F71" s="33" t="n">
        <f aca="false">IFERROR(D71/E71,0)</f>
        <v>0</v>
      </c>
    </row>
    <row r="72" customFormat="false" ht="15" hidden="false" customHeight="false" outlineLevel="0" collapsed="false">
      <c r="A72" s="29" t="s">
        <v>101</v>
      </c>
      <c r="B72" s="30" t="s">
        <v>930</v>
      </c>
      <c r="C72" s="31" t="n">
        <v>14</v>
      </c>
      <c r="D72" s="32" t="n">
        <f aca="false">SUMPRODUCT((D32:D45&lt;&gt;"TDD")*IFERROR(D32:D45,0))</f>
        <v>0</v>
      </c>
      <c r="E72" s="32" t="n">
        <f aca="false">COUNTIF(D32:D45,"&lt;&gt;TDD")*10</f>
        <v>140</v>
      </c>
      <c r="F72" s="33" t="n">
        <f aca="false">IFERROR(D72/E72,0)</f>
        <v>0</v>
      </c>
    </row>
    <row r="73" customFormat="false" ht="15" hidden="false" customHeight="false" outlineLevel="0" collapsed="false">
      <c r="A73" s="29" t="s">
        <v>103</v>
      </c>
      <c r="B73" s="30" t="s">
        <v>931</v>
      </c>
      <c r="C73" s="31" t="n">
        <v>5</v>
      </c>
      <c r="D73" s="32" t="n">
        <f aca="false">SUMPRODUCT((D47:D51&lt;&gt;"TDD")*IFERROR(D47:D51,0))</f>
        <v>0</v>
      </c>
      <c r="E73" s="32" t="n">
        <f aca="false">COUNTIF(D47:D51,"&lt;&gt;TDD")*10</f>
        <v>50</v>
      </c>
      <c r="F73" s="33" t="n">
        <f aca="false">IFERROR(D73/E73,0)</f>
        <v>0</v>
      </c>
    </row>
    <row r="74" customFormat="false" ht="15" hidden="false" customHeight="false" outlineLevel="0" collapsed="false">
      <c r="A74" s="29" t="s">
        <v>105</v>
      </c>
      <c r="B74" s="30" t="s">
        <v>932</v>
      </c>
      <c r="C74" s="31" t="n">
        <v>14</v>
      </c>
      <c r="D74" s="32" t="n">
        <f aca="false">SUMPRODUCT((D53:D66&lt;&gt;"TDD")*IFERROR(D53:D66,0))</f>
        <v>0</v>
      </c>
      <c r="E74" s="32" t="n">
        <f aca="false">COUNTIF(D53:D66,"&lt;&gt;TDD")*10</f>
        <v>140</v>
      </c>
      <c r="F74" s="33" t="n">
        <f aca="false">IFERROR(D74/E74,0)</f>
        <v>0</v>
      </c>
    </row>
    <row r="75" customFormat="false" ht="15" hidden="false" customHeight="false" outlineLevel="0" collapsed="false">
      <c r="A75" s="34" t="s">
        <v>933</v>
      </c>
      <c r="B75" s="34"/>
      <c r="C75" s="35" t="n">
        <f aca="false">SUM(C70:C74)</f>
        <v>57</v>
      </c>
      <c r="D75" s="36" t="n">
        <f aca="false">SUM(D70:D74)</f>
        <v>0</v>
      </c>
      <c r="E75" s="36" t="n">
        <f aca="false">SUM(E70:E74)</f>
        <v>570</v>
      </c>
      <c r="F75" s="37" t="n">
        <f aca="false">IFERROR(D75/E75,0)</f>
        <v>0</v>
      </c>
    </row>
  </sheetData>
  <mergeCells count="9">
    <mergeCell ref="A1:F1"/>
    <mergeCell ref="A2:F2"/>
    <mergeCell ref="A5:F5"/>
    <mergeCell ref="A22:F22"/>
    <mergeCell ref="A31:F31"/>
    <mergeCell ref="A46:F46"/>
    <mergeCell ref="A52:F52"/>
    <mergeCell ref="A68:F68"/>
    <mergeCell ref="A75:B75"/>
  </mergeCells>
  <dataValidations count="1">
    <dataValidation allowBlank="true" error="Nilai harus 0, 5, 10, atau TDD (Tidak Dapat Dinilai)." errorStyle="stop" errorTitle="Error" operator="between" showDropDown="false" showErrorMessage="true" showInputMessage="false" sqref="D6:D21 D23:D30 D32:D45 D47:D51 D53:D66"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2026-07-08T01:46:25Z</dcterms:created>
  <dc:creator>openpyxl</dc:creator>
  <dc:description/>
  <dc:language>en-US</dc:language>
  <cp:lastModifiedBy/>
  <dcterms:modified xsi:type="dcterms:W3CDTF">2026-07-08T01:59:50Z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